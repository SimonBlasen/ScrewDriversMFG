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projects\ScrewDriversMFG\Screw Drivers\Endbericht\Unterlagen\"/>
    </mc:Choice>
  </mc:AlternateContent>
  <xr:revisionPtr revIDLastSave="0" documentId="13_ncr:1_{C7185D24-84E5-430F-B1D9-9439E46CAE1B}" xr6:coauthVersionLast="47" xr6:coauthVersionMax="47" xr10:uidLastSave="{00000000-0000-0000-0000-000000000000}"/>
  <bookViews>
    <workbookView xWindow="29955" yWindow="3840" windowWidth="22380" windowHeight="25830" tabRatio="500" xr2:uid="{00000000-000D-0000-FFFF-FFFF00000000}"/>
  </bookViews>
  <sheets>
    <sheet name="Übersicht" sheetId="1" r:id="rId1"/>
    <sheet name="Jul 2026" sheetId="19" r:id="rId2"/>
    <sheet name="Aug 2026" sheetId="20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33" i="1" l="1"/>
  <c r="B41" i="20"/>
  <c r="H34" i="1" s="1"/>
  <c r="B40" i="20"/>
  <c r="G34" i="1" s="1"/>
  <c r="D38" i="20"/>
  <c r="D34" i="1" s="1"/>
  <c r="J34" i="1" s="1"/>
  <c r="F36" i="20"/>
  <c r="E36" i="20"/>
  <c r="F35" i="20"/>
  <c r="E35" i="20"/>
  <c r="F34" i="20"/>
  <c r="E34" i="20"/>
  <c r="F33" i="20"/>
  <c r="E33" i="20"/>
  <c r="F32" i="20"/>
  <c r="E32" i="20"/>
  <c r="F31" i="20"/>
  <c r="E31" i="20"/>
  <c r="F30" i="20"/>
  <c r="E30" i="20"/>
  <c r="F29" i="20"/>
  <c r="E29" i="20"/>
  <c r="F28" i="20"/>
  <c r="E28" i="20"/>
  <c r="F27" i="20"/>
  <c r="E27" i="20"/>
  <c r="F26" i="20"/>
  <c r="E26" i="20"/>
  <c r="F25" i="20"/>
  <c r="E25" i="20"/>
  <c r="F24" i="20"/>
  <c r="E24" i="20"/>
  <c r="F23" i="20"/>
  <c r="E23" i="20"/>
  <c r="F22" i="20"/>
  <c r="E22" i="20"/>
  <c r="F21" i="20"/>
  <c r="E21" i="20"/>
  <c r="F20" i="20"/>
  <c r="E20" i="20"/>
  <c r="F19" i="20"/>
  <c r="E19" i="20"/>
  <c r="F18" i="20"/>
  <c r="E18" i="20"/>
  <c r="F17" i="20"/>
  <c r="E17" i="20"/>
  <c r="F16" i="20"/>
  <c r="E16" i="20"/>
  <c r="F15" i="20"/>
  <c r="E15" i="20"/>
  <c r="F14" i="20"/>
  <c r="E14" i="20"/>
  <c r="F13" i="20"/>
  <c r="E13" i="20"/>
  <c r="F12" i="20"/>
  <c r="E12" i="20"/>
  <c r="F11" i="20"/>
  <c r="E11" i="20"/>
  <c r="F10" i="20"/>
  <c r="E10" i="20"/>
  <c r="F9" i="20"/>
  <c r="E9" i="20"/>
  <c r="F8" i="20"/>
  <c r="E8" i="20"/>
  <c r="F7" i="20"/>
  <c r="E7" i="20"/>
  <c r="F6" i="20"/>
  <c r="E6" i="20"/>
  <c r="B41" i="19"/>
  <c r="H33" i="1" s="1"/>
  <c r="B40" i="19"/>
  <c r="G33" i="1" s="1"/>
  <c r="D38" i="19"/>
  <c r="D33" i="1" s="1"/>
  <c r="F36" i="19"/>
  <c r="E36" i="19"/>
  <c r="F35" i="19"/>
  <c r="E35" i="19"/>
  <c r="F34" i="19"/>
  <c r="E34" i="19"/>
  <c r="F33" i="19"/>
  <c r="E33" i="19"/>
  <c r="F32" i="19"/>
  <c r="E32" i="19"/>
  <c r="F31" i="19"/>
  <c r="E31" i="19"/>
  <c r="F30" i="19"/>
  <c r="E30" i="19"/>
  <c r="F29" i="19"/>
  <c r="E29" i="19"/>
  <c r="F28" i="19"/>
  <c r="E28" i="19"/>
  <c r="F27" i="19"/>
  <c r="E27" i="19"/>
  <c r="F26" i="19"/>
  <c r="E26" i="19"/>
  <c r="F25" i="19"/>
  <c r="E25" i="19"/>
  <c r="F24" i="19"/>
  <c r="E24" i="19"/>
  <c r="F23" i="19"/>
  <c r="E23" i="19"/>
  <c r="F22" i="19"/>
  <c r="E22" i="19"/>
  <c r="F21" i="19"/>
  <c r="E21" i="19"/>
  <c r="F20" i="19"/>
  <c r="E20" i="19"/>
  <c r="F19" i="19"/>
  <c r="E19" i="19"/>
  <c r="F18" i="19"/>
  <c r="E18" i="19"/>
  <c r="F17" i="19"/>
  <c r="E17" i="19"/>
  <c r="F16" i="19"/>
  <c r="E16" i="19"/>
  <c r="F15" i="19"/>
  <c r="E15" i="19"/>
  <c r="F14" i="19"/>
  <c r="E14" i="19"/>
  <c r="F13" i="19"/>
  <c r="E13" i="19"/>
  <c r="F12" i="19"/>
  <c r="E12" i="19"/>
  <c r="F11" i="19"/>
  <c r="E11" i="19"/>
  <c r="F10" i="19"/>
  <c r="E10" i="19"/>
  <c r="F9" i="19"/>
  <c r="E9" i="19"/>
  <c r="F8" i="19"/>
  <c r="E8" i="19"/>
  <c r="F7" i="19"/>
  <c r="E7" i="19"/>
  <c r="F6" i="19"/>
  <c r="E6" i="19"/>
  <c r="F38" i="20" l="1"/>
  <c r="E34" i="1" s="1"/>
  <c r="F38" i="19"/>
  <c r="E33" i="1" s="1"/>
  <c r="J30" i="1"/>
  <c r="E38" i="20"/>
  <c r="C34" i="1" s="1"/>
  <c r="B39" i="20"/>
  <c r="B34" i="1" s="1"/>
  <c r="E38" i="19"/>
  <c r="C33" i="1" s="1"/>
  <c r="B39" i="19"/>
  <c r="B33" i="1" s="1"/>
  <c r="J32" i="1"/>
  <c r="J31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H35" i="1"/>
  <c r="G35" i="1"/>
  <c r="D35" i="1" l="1"/>
  <c r="B35" i="1"/>
  <c r="C35" i="1"/>
  <c r="E35" i="1"/>
  <c r="F33" i="1" l="1"/>
  <c r="B42" i="19" l="1"/>
  <c r="F34" i="1"/>
  <c r="F35" i="1" l="1"/>
  <c r="B42" i="2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4" authorId="0" shapeId="0" xr:uid="{00000000-0006-0000-0000-000001000000}">
      <text>
        <r>
          <rPr>
            <sz val="10"/>
            <rFont val="Arial"/>
            <family val="2"/>
          </rPr>
          <t>Annahme: 8 Stunden pro Werktag (Mo–Fr). Bitte an den eigenen Vertrag anpassen – gilt für alle Monatsblätter.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D38" authorId="0" shapeId="0" xr:uid="{00000000-0006-0000-1200-000001000000}">
      <text>
        <r>
          <rPr>
            <sz val="10"/>
            <rFont val="Arial"/>
            <family val="2"/>
          </rPr>
          <t>Eingetragene Ist-Stunden plus Soll-Stunden der Tage mit U/K/F/G.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D38" authorId="0" shapeId="0" xr:uid="{00000000-0006-0000-1300-000001000000}">
      <text>
        <r>
          <rPr>
            <sz val="10"/>
            <rFont val="Arial"/>
            <family val="2"/>
          </rPr>
          <t>Eingetragene Ist-Stunden plus Soll-Stunden der Tage mit U/K/F/G.</t>
        </r>
      </text>
    </comment>
  </commentList>
</comments>
</file>

<file path=xl/sharedStrings.xml><?xml version="1.0" encoding="utf-8"?>
<sst xmlns="http://schemas.openxmlformats.org/spreadsheetml/2006/main" count="179" uniqueCount="61">
  <si>
    <t>Zeiterfassung – Übersicht Februar 2025 bis August 2026</t>
  </si>
  <si>
    <t>Einstellungen</t>
  </si>
  <si>
    <t>Soll-Arbeitszeit pro Arbeitstag (Std.)</t>
  </si>
  <si>
    <t>Legende</t>
  </si>
  <si>
    <t>Gelb hinterlegte Zellen mit blauer Schrift = Eingabefelder</t>
  </si>
  <si>
    <t>Weiße Zellen enthalten Formeln – bitte nicht überschreiben</t>
  </si>
  <si>
    <t>Monatsblätter: geleistete Stunden als Dezimalzahl in 'Ist-Std.' eintragen (Beispiel: 8,25 = 8 Std. 15 Min.)</t>
  </si>
  <si>
    <t>Spalte 'Art': leer = Arbeit, U = Urlaub, K = Krank, F = Feiertag, G = Gleittag</t>
  </si>
  <si>
    <t>Bei U / K / F / G wird automatisch die Soll-Zeit als Ist-Zeit gewertet – keine Eingabe nötig</t>
  </si>
  <si>
    <t>Gesetzliche Feiertage Baden-Württemberg sind in den Monatsblättern bereits mit 'F' eingetragen</t>
  </si>
  <si>
    <t>Monat</t>
  </si>
  <si>
    <t>Arbeitstage (Soll)</t>
  </si>
  <si>
    <t>Soll-Std.</t>
  </si>
  <si>
    <t>Ist-Std.</t>
  </si>
  <si>
    <t>Differenz</t>
  </si>
  <si>
    <t>Saldo kumuliert</t>
  </si>
  <si>
    <t>Urlaubstage</t>
  </si>
  <si>
    <t>Krankheitstage</t>
  </si>
  <si>
    <t>Februar 2025</t>
  </si>
  <si>
    <t>März 2025</t>
  </si>
  <si>
    <t>April 2025</t>
  </si>
  <si>
    <t>Mai 2025</t>
  </si>
  <si>
    <t>Juni 2025</t>
  </si>
  <si>
    <t>Juli 2025</t>
  </si>
  <si>
    <t>August 2025</t>
  </si>
  <si>
    <t>September 2025</t>
  </si>
  <si>
    <t>Oktober 2025</t>
  </si>
  <si>
    <t>November 2025</t>
  </si>
  <si>
    <t>Dezember 2025</t>
  </si>
  <si>
    <t>Januar 2026</t>
  </si>
  <si>
    <t>Februar 2026</t>
  </si>
  <si>
    <t>März 2026</t>
  </si>
  <si>
    <t>April 2026</t>
  </si>
  <si>
    <t>Mai 2026</t>
  </si>
  <si>
    <t>Juni 2026</t>
  </si>
  <si>
    <t>Juli 2026</t>
  </si>
  <si>
    <t>August 2026</t>
  </si>
  <si>
    <t>Gesamt</t>
  </si>
  <si>
    <t>Name:</t>
  </si>
  <si>
    <t>Gelb = Eingabe · Ist-Std. als Dezimalzahl (8,25 = 8 Std. 15 Min.) · Art: U Urlaub, K Krank, F Feiertag, G Gleittag</t>
  </si>
  <si>
    <t>Datum</t>
  </si>
  <si>
    <t>Tag</t>
  </si>
  <si>
    <t>Art</t>
  </si>
  <si>
    <t>Bemerkung</t>
  </si>
  <si>
    <t>Sa</t>
  </si>
  <si>
    <t>So</t>
  </si>
  <si>
    <t>Mo</t>
  </si>
  <si>
    <t>Di</t>
  </si>
  <si>
    <t>Mi</t>
  </si>
  <si>
    <t>Do</t>
  </si>
  <si>
    <t>Fr</t>
  </si>
  <si>
    <t>Summe</t>
  </si>
  <si>
    <t>Saldo kumuliert (Std.)</t>
  </si>
  <si>
    <t>Zeiterfassung Juli 2026</t>
  </si>
  <si>
    <t>Zeiterfassung August 2026</t>
  </si>
  <si>
    <t>SD</t>
  </si>
  <si>
    <t>U</t>
  </si>
  <si>
    <t>P</t>
  </si>
  <si>
    <t>Gamescom</t>
  </si>
  <si>
    <t>Gamestate Festival</t>
  </si>
  <si>
    <t>Fransiska Agustina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</si>
</sst>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;\-0;\-"/>
    <numFmt numFmtId="165" formatCode="0.00;[Red]\-0.00;\-"/>
    <numFmt numFmtId="166" formatCode="dd\.mm\.yyyy"/>
  </numFmts>
  <fonts count="9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b/>
      <sz val="11"/>
      <name val="Arial"/>
      <charset val="1"/>
    </font>
    <font>
      <sz val="11"/>
      <color rgb="FF0000FF"/>
      <name val="Arial"/>
      <charset val="1"/>
    </font>
    <font>
      <sz val="11"/>
      <name val="Arial"/>
      <charset val="1"/>
    </font>
    <font>
      <b/>
      <sz val="11"/>
      <color rgb="FFFFFFFF"/>
      <name val="Arial"/>
      <charset val="1"/>
    </font>
    <font>
      <sz val="11"/>
      <color rgb="FF008000"/>
      <name val="Arial"/>
      <charset val="1"/>
    </font>
    <font>
      <sz val="10"/>
      <name val="Arial"/>
      <family val="2"/>
    </font>
    <font>
      <i/>
      <sz val="9"/>
      <color rgb="FF7F7F7F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E7E6E6"/>
      </patternFill>
    </fill>
    <fill>
      <patternFill patternType="solid">
        <fgColor rgb="FF1F4E78"/>
        <bgColor rgb="FF003366"/>
      </patternFill>
    </fill>
    <fill>
      <patternFill patternType="solid">
        <fgColor rgb="FFD9E1F2"/>
        <bgColor rgb="FFE7E6E6"/>
      </patternFill>
    </fill>
    <fill>
      <patternFill patternType="solid">
        <fgColor rgb="FFE7E6E6"/>
        <bgColor rgb="FFD9E1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3" fillId="2" borderId="0" xfId="0" applyFont="1" applyFill="1"/>
    <xf numFmtId="0" fontId="1" fillId="0" borderId="0" xfId="0" applyFont="1"/>
    <xf numFmtId="0" fontId="2" fillId="0" borderId="0" xfId="0" applyFont="1"/>
    <xf numFmtId="2" fontId="3" fillId="2" borderId="1" xfId="0" applyNumberFormat="1" applyFont="1" applyFill="1" applyBorder="1"/>
    <xf numFmtId="0" fontId="4" fillId="0" borderId="0" xfId="0" applyFont="1"/>
    <xf numFmtId="0" fontId="5" fillId="3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164" fontId="6" fillId="0" borderId="1" xfId="0" applyNumberFormat="1" applyFont="1" applyBorder="1"/>
    <xf numFmtId="165" fontId="6" fillId="0" borderId="1" xfId="0" applyNumberFormat="1" applyFont="1" applyBorder="1"/>
    <xf numFmtId="165" fontId="4" fillId="0" borderId="1" xfId="0" applyNumberFormat="1" applyFont="1" applyBorder="1"/>
    <xf numFmtId="0" fontId="2" fillId="4" borderId="1" xfId="0" applyFont="1" applyFill="1" applyBorder="1"/>
    <xf numFmtId="165" fontId="2" fillId="4" borderId="1" xfId="0" applyNumberFormat="1" applyFont="1" applyFill="1" applyBorder="1"/>
    <xf numFmtId="0" fontId="8" fillId="0" borderId="0" xfId="0" applyFont="1"/>
    <xf numFmtId="0" fontId="5" fillId="3" borderId="1" xfId="0" applyFont="1" applyFill="1" applyBorder="1" applyAlignment="1">
      <alignment horizontal="center" vertical="center"/>
    </xf>
    <xf numFmtId="166" fontId="4" fillId="5" borderId="1" xfId="0" applyNumberFormat="1" applyFont="1" applyFill="1" applyBorder="1"/>
    <xf numFmtId="0" fontId="4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165" fontId="3" fillId="5" borderId="1" xfId="0" applyNumberFormat="1" applyFont="1" applyFill="1" applyBorder="1"/>
    <xf numFmtId="165" fontId="4" fillId="5" borderId="1" xfId="0" applyNumberFormat="1" applyFont="1" applyFill="1" applyBorder="1"/>
    <xf numFmtId="0" fontId="3" fillId="5" borderId="1" xfId="0" applyFont="1" applyFill="1" applyBorder="1"/>
    <xf numFmtId="166" fontId="4" fillId="0" borderId="1" xfId="0" applyNumberFormat="1" applyFont="1" applyBorder="1"/>
    <xf numFmtId="0" fontId="4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65" fontId="3" fillId="2" borderId="1" xfId="0" applyNumberFormat="1" applyFont="1" applyFill="1" applyBorder="1"/>
    <xf numFmtId="0" fontId="3" fillId="2" borderId="1" xfId="0" applyFont="1" applyFill="1" applyBorder="1"/>
    <xf numFmtId="0" fontId="0" fillId="4" borderId="1" xfId="0" applyFill="1" applyBorder="1"/>
    <xf numFmtId="0" fontId="4" fillId="0" borderId="0" xfId="0" applyFont="1" applyAlignment="1">
      <alignment horizontal="right"/>
    </xf>
    <xf numFmtId="165" fontId="6" fillId="0" borderId="0" xfId="0" applyNumberFormat="1" applyFont="1" applyAlignment="1">
      <alignment horizontal="right"/>
    </xf>
    <xf numFmtId="0" fontId="3" fillId="2" borderId="0" xfId="0" applyFont="1" applyFill="1"/>
  </cellXfs>
  <cellStyles count="1">
    <cellStyle name="Standard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E7E6E6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5"/>
  <sheetViews>
    <sheetView tabSelected="1" zoomScaleNormal="100" workbookViewId="0">
      <pane ySplit="15" topLeftCell="A16" activePane="bottomLeft" state="frozen"/>
      <selection pane="bottomLeft" activeCell="B9" sqref="B9"/>
    </sheetView>
  </sheetViews>
  <sheetFormatPr baseColWidth="10" defaultColWidth="8.7109375" defaultRowHeight="15" x14ac:dyDescent="0.25"/>
  <cols>
    <col min="1" max="1" width="30" customWidth="1"/>
    <col min="2" max="2" width="14" customWidth="1"/>
    <col min="3" max="5" width="12" customWidth="1"/>
    <col min="6" max="6" width="14" customWidth="1"/>
    <col min="7" max="7" width="13" customWidth="1"/>
    <col min="8" max="8" width="15" customWidth="1"/>
  </cols>
  <sheetData>
    <row r="1" spans="1:10" ht="18" x14ac:dyDescent="0.25">
      <c r="A1" s="2" t="s">
        <v>0</v>
      </c>
    </row>
    <row r="3" spans="1:10" x14ac:dyDescent="0.25">
      <c r="A3" s="3" t="s">
        <v>1</v>
      </c>
    </row>
    <row r="4" spans="1:10" x14ac:dyDescent="0.25">
      <c r="A4" t="s">
        <v>2</v>
      </c>
      <c r="B4" s="4">
        <v>8</v>
      </c>
    </row>
    <row r="6" spans="1:10" x14ac:dyDescent="0.25">
      <c r="A6" s="3" t="s">
        <v>3</v>
      </c>
    </row>
    <row r="7" spans="1:10" x14ac:dyDescent="0.25">
      <c r="A7" s="1" t="s">
        <v>4</v>
      </c>
    </row>
    <row r="8" spans="1:10" x14ac:dyDescent="0.25">
      <c r="A8" s="5" t="s">
        <v>5</v>
      </c>
    </row>
    <row r="9" spans="1:10" x14ac:dyDescent="0.25">
      <c r="A9" s="5" t="s">
        <v>6</v>
      </c>
    </row>
    <row r="10" spans="1:10" x14ac:dyDescent="0.25">
      <c r="A10" s="5" t="s">
        <v>7</v>
      </c>
    </row>
    <row r="11" spans="1:10" x14ac:dyDescent="0.25">
      <c r="A11" s="5" t="s">
        <v>8</v>
      </c>
    </row>
    <row r="12" spans="1:10" x14ac:dyDescent="0.25">
      <c r="A12" s="5" t="s">
        <v>9</v>
      </c>
    </row>
    <row r="15" spans="1:10" ht="30" x14ac:dyDescent="0.25">
      <c r="A15" s="6" t="s">
        <v>10</v>
      </c>
      <c r="B15" s="6" t="s">
        <v>11</v>
      </c>
      <c r="C15" s="6" t="s">
        <v>12</v>
      </c>
      <c r="D15" s="6" t="s">
        <v>13</v>
      </c>
      <c r="E15" s="6" t="s">
        <v>14</v>
      </c>
      <c r="F15" s="6" t="s">
        <v>15</v>
      </c>
      <c r="G15" s="6" t="s">
        <v>16</v>
      </c>
      <c r="H15" s="6" t="s">
        <v>17</v>
      </c>
    </row>
    <row r="16" spans="1:10" hidden="1" x14ac:dyDescent="0.25">
      <c r="A16" s="7" t="s">
        <v>18</v>
      </c>
      <c r="B16" s="8">
        <v>0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J16" t="e">
        <f t="shared" ref="J16:J19" si="0">D16/C16</f>
        <v>#DIV/0!</v>
      </c>
    </row>
    <row r="17" spans="1:10" hidden="1" x14ac:dyDescent="0.25">
      <c r="A17" s="7" t="s">
        <v>19</v>
      </c>
      <c r="B17" s="8">
        <v>0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J17" t="e">
        <f t="shared" si="0"/>
        <v>#DIV/0!</v>
      </c>
    </row>
    <row r="18" spans="1:10" hidden="1" x14ac:dyDescent="0.25">
      <c r="A18" s="7" t="s">
        <v>20</v>
      </c>
      <c r="B18" s="8">
        <v>0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J18" t="e">
        <f t="shared" si="0"/>
        <v>#DIV/0!</v>
      </c>
    </row>
    <row r="19" spans="1:10" hidden="1" x14ac:dyDescent="0.25">
      <c r="A19" s="7" t="s">
        <v>21</v>
      </c>
      <c r="B19" s="8">
        <v>0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J19" t="e">
        <f t="shared" si="0"/>
        <v>#DIV/0!</v>
      </c>
    </row>
    <row r="20" spans="1:10" hidden="1" x14ac:dyDescent="0.25">
      <c r="A20" s="7" t="s">
        <v>22</v>
      </c>
      <c r="B20" s="8">
        <v>0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J20" t="e">
        <f>D20/C20</f>
        <v>#DIV/0!</v>
      </c>
    </row>
    <row r="21" spans="1:10" hidden="1" x14ac:dyDescent="0.25">
      <c r="A21" s="7" t="s">
        <v>23</v>
      </c>
      <c r="B21" s="8">
        <v>0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J21" t="e">
        <f t="shared" ref="J21:J34" si="1">D21/C21</f>
        <v>#DIV/0!</v>
      </c>
    </row>
    <row r="22" spans="1:10" hidden="1" x14ac:dyDescent="0.25">
      <c r="A22" s="7" t="s">
        <v>24</v>
      </c>
      <c r="B22" s="8">
        <v>0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J22" t="e">
        <f t="shared" si="1"/>
        <v>#DIV/0!</v>
      </c>
    </row>
    <row r="23" spans="1:10" hidden="1" x14ac:dyDescent="0.25">
      <c r="A23" s="7" t="s">
        <v>25</v>
      </c>
      <c r="B23" s="8">
        <v>0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J23" t="e">
        <f t="shared" si="1"/>
        <v>#DIV/0!</v>
      </c>
    </row>
    <row r="24" spans="1:10" hidden="1" x14ac:dyDescent="0.25">
      <c r="A24" s="7" t="s">
        <v>26</v>
      </c>
      <c r="B24" s="8">
        <v>0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J24" t="e">
        <f t="shared" si="1"/>
        <v>#DIV/0!</v>
      </c>
    </row>
    <row r="25" spans="1:10" hidden="1" x14ac:dyDescent="0.25">
      <c r="A25" s="7" t="s">
        <v>27</v>
      </c>
      <c r="B25" s="8">
        <v>0</v>
      </c>
      <c r="C25" s="8">
        <v>0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J25" t="e">
        <f t="shared" si="1"/>
        <v>#DIV/0!</v>
      </c>
    </row>
    <row r="26" spans="1:10" hidden="1" x14ac:dyDescent="0.25">
      <c r="A26" s="7" t="s">
        <v>28</v>
      </c>
      <c r="B26" s="8">
        <v>0</v>
      </c>
      <c r="C26" s="8">
        <v>0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J26" t="e">
        <f t="shared" si="1"/>
        <v>#DIV/0!</v>
      </c>
    </row>
    <row r="27" spans="1:10" hidden="1" x14ac:dyDescent="0.25">
      <c r="A27" s="7" t="s">
        <v>29</v>
      </c>
      <c r="B27" s="8">
        <v>0</v>
      </c>
      <c r="C27" s="8">
        <v>0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J27" t="e">
        <f t="shared" si="1"/>
        <v>#DIV/0!</v>
      </c>
    </row>
    <row r="28" spans="1:10" hidden="1" x14ac:dyDescent="0.25">
      <c r="A28" s="7" t="s">
        <v>30</v>
      </c>
      <c r="B28" s="8">
        <v>0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J28" t="e">
        <f t="shared" si="1"/>
        <v>#DIV/0!</v>
      </c>
    </row>
    <row r="29" spans="1:10" hidden="1" x14ac:dyDescent="0.25">
      <c r="A29" s="7" t="s">
        <v>31</v>
      </c>
      <c r="B29" s="8">
        <v>0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J29" t="e">
        <f t="shared" si="1"/>
        <v>#DIV/0!</v>
      </c>
    </row>
    <row r="30" spans="1:10" hidden="1" x14ac:dyDescent="0.25">
      <c r="A30" s="7" t="s">
        <v>32</v>
      </c>
      <c r="B30" s="8">
        <v>0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J30" t="e">
        <f t="shared" si="1"/>
        <v>#DIV/0!</v>
      </c>
    </row>
    <row r="31" spans="1:10" hidden="1" x14ac:dyDescent="0.25">
      <c r="A31" s="7" t="s">
        <v>33</v>
      </c>
      <c r="B31" s="8">
        <v>0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J31" t="e">
        <f t="shared" si="1"/>
        <v>#DIV/0!</v>
      </c>
    </row>
    <row r="32" spans="1:10" hidden="1" x14ac:dyDescent="0.25">
      <c r="A32" s="7" t="s">
        <v>34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J32" t="e">
        <f t="shared" si="1"/>
        <v>#DIV/0!</v>
      </c>
    </row>
    <row r="33" spans="1:10" x14ac:dyDescent="0.25">
      <c r="A33" s="7" t="s">
        <v>35</v>
      </c>
      <c r="B33" s="8">
        <f>'Jul 2026'!$B$39</f>
        <v>23</v>
      </c>
      <c r="C33" s="9">
        <f>'Jul 2026'!$E$38</f>
        <v>184</v>
      </c>
      <c r="D33" s="9">
        <f>'Jul 2026'!$D$38</f>
        <v>176</v>
      </c>
      <c r="E33" s="9">
        <f>'Jul 2026'!$F$38</f>
        <v>0</v>
      </c>
      <c r="F33" s="10">
        <f t="shared" ref="F17:F34" si="2">F32+E33</f>
        <v>0</v>
      </c>
      <c r="G33" s="8">
        <f>'Jul 2026'!$B$40</f>
        <v>1</v>
      </c>
      <c r="H33" s="8">
        <f>'Jul 2026'!$B$41</f>
        <v>0</v>
      </c>
      <c r="J33">
        <f t="shared" si="1"/>
        <v>0.95652173913043481</v>
      </c>
    </row>
    <row r="34" spans="1:10" x14ac:dyDescent="0.25">
      <c r="A34" s="7" t="s">
        <v>36</v>
      </c>
      <c r="B34" s="8">
        <f>'Aug 2026'!$B$39</f>
        <v>21</v>
      </c>
      <c r="C34" s="9">
        <f>'Aug 2026'!$E$38</f>
        <v>168</v>
      </c>
      <c r="D34" s="9">
        <f>'Aug 2026'!$D$38</f>
        <v>152</v>
      </c>
      <c r="E34" s="9">
        <f>'Aug 2026'!$F$38</f>
        <v>0</v>
      </c>
      <c r="F34" s="10">
        <f t="shared" si="2"/>
        <v>0</v>
      </c>
      <c r="G34" s="8">
        <f>'Aug 2026'!$B$40</f>
        <v>9</v>
      </c>
      <c r="H34" s="8">
        <f>'Aug 2026'!$B$41</f>
        <v>0</v>
      </c>
      <c r="J34">
        <f t="shared" si="1"/>
        <v>0.90476190476190477</v>
      </c>
    </row>
    <row r="35" spans="1:10" x14ac:dyDescent="0.25">
      <c r="A35" s="11" t="s">
        <v>37</v>
      </c>
      <c r="B35" s="11">
        <f>SUM(B16:B34)</f>
        <v>44</v>
      </c>
      <c r="C35" s="12">
        <f>SUM(C16:C34)</f>
        <v>352</v>
      </c>
      <c r="D35" s="12">
        <f>SUM(D16:D34)</f>
        <v>328</v>
      </c>
      <c r="E35" s="12">
        <f>SUM(E16:E34)</f>
        <v>0</v>
      </c>
      <c r="F35" s="12">
        <f>F34</f>
        <v>0</v>
      </c>
      <c r="G35" s="11">
        <f>SUM(G16:G34)</f>
        <v>10</v>
      </c>
      <c r="H35" s="11">
        <f>SUM(H16:H34)</f>
        <v>0</v>
      </c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G42"/>
  <sheetViews>
    <sheetView zoomScaleNormal="100" workbookViewId="0">
      <pane ySplit="5" topLeftCell="A6" activePane="bottomLeft" state="frozen"/>
      <selection pane="bottomLeft" activeCell="B3" sqref="B3"/>
    </sheetView>
  </sheetViews>
  <sheetFormatPr baseColWidth="10" defaultColWidth="8.7109375" defaultRowHeight="15" x14ac:dyDescent="0.25"/>
  <cols>
    <col min="1" max="1" width="12" customWidth="1"/>
    <col min="2" max="3" width="6" customWidth="1"/>
    <col min="4" max="5" width="10" customWidth="1"/>
    <col min="6" max="6" width="11" customWidth="1"/>
    <col min="7" max="7" width="36" customWidth="1"/>
  </cols>
  <sheetData>
    <row r="1" spans="1:7" ht="18" x14ac:dyDescent="0.25">
      <c r="A1" s="2" t="s">
        <v>53</v>
      </c>
    </row>
    <row r="2" spans="1:7" x14ac:dyDescent="0.25">
      <c r="A2" s="3" t="s">
        <v>38</v>
      </c>
      <c r="B2" s="29" t="s">
        <v>60</v>
      </c>
      <c r="C2" s="29"/>
      <c r="D2" s="29"/>
    </row>
    <row r="3" spans="1:7" x14ac:dyDescent="0.25">
      <c r="A3" s="13" t="s">
        <v>39</v>
      </c>
    </row>
    <row r="5" spans="1:7" x14ac:dyDescent="0.25">
      <c r="A5" s="14" t="s">
        <v>40</v>
      </c>
      <c r="B5" s="14" t="s">
        <v>41</v>
      </c>
      <c r="C5" s="14" t="s">
        <v>42</v>
      </c>
      <c r="D5" s="14" t="s">
        <v>13</v>
      </c>
      <c r="E5" s="14" t="s">
        <v>12</v>
      </c>
      <c r="F5" s="14" t="s">
        <v>14</v>
      </c>
      <c r="G5" s="14" t="s">
        <v>43</v>
      </c>
    </row>
    <row r="6" spans="1:7" x14ac:dyDescent="0.25">
      <c r="A6" s="21">
        <v>46204</v>
      </c>
      <c r="B6" s="22" t="s">
        <v>48</v>
      </c>
      <c r="C6" s="23" t="s">
        <v>55</v>
      </c>
      <c r="D6" s="24">
        <v>8</v>
      </c>
      <c r="E6" s="10">
        <f>IF(WEEKDAY(A6,2)&lt;=5,Übersicht!$B$4,0)</f>
        <v>8</v>
      </c>
      <c r="F6" s="10">
        <f t="shared" ref="F6:F36" si="0">IF(OR(C6="U",C6="K",C6="F",C6="G"),IF(D6="",0,D6),IF(D6="","",D6-E6))</f>
        <v>0</v>
      </c>
      <c r="G6" s="25"/>
    </row>
    <row r="7" spans="1:7" x14ac:dyDescent="0.25">
      <c r="A7" s="21">
        <v>46205</v>
      </c>
      <c r="B7" s="22" t="s">
        <v>49</v>
      </c>
      <c r="C7" s="23" t="s">
        <v>55</v>
      </c>
      <c r="D7" s="24">
        <v>8</v>
      </c>
      <c r="E7" s="10">
        <f>IF(WEEKDAY(A7,2)&lt;=5,Übersicht!$B$4,0)</f>
        <v>8</v>
      </c>
      <c r="F7" s="10">
        <f t="shared" si="0"/>
        <v>0</v>
      </c>
      <c r="G7" s="25"/>
    </row>
    <row r="8" spans="1:7" x14ac:dyDescent="0.25">
      <c r="A8" s="21">
        <v>46206</v>
      </c>
      <c r="B8" s="22" t="s">
        <v>50</v>
      </c>
      <c r="C8" s="23" t="s">
        <v>55</v>
      </c>
      <c r="D8" s="24">
        <v>8</v>
      </c>
      <c r="E8" s="10">
        <f>IF(WEEKDAY(A8,2)&lt;=5,Übersicht!$B$4,0)</f>
        <v>8</v>
      </c>
      <c r="F8" s="10">
        <f t="shared" si="0"/>
        <v>0</v>
      </c>
      <c r="G8" s="25"/>
    </row>
    <row r="9" spans="1:7" x14ac:dyDescent="0.25">
      <c r="A9" s="15">
        <v>46207</v>
      </c>
      <c r="B9" s="16" t="s">
        <v>44</v>
      </c>
      <c r="C9" s="17"/>
      <c r="D9" s="18"/>
      <c r="E9" s="19">
        <f>IF(WEEKDAY(A9,2)&lt;=5,Übersicht!$B$4,0)</f>
        <v>0</v>
      </c>
      <c r="F9" s="19" t="str">
        <f t="shared" si="0"/>
        <v/>
      </c>
      <c r="G9" s="20"/>
    </row>
    <row r="10" spans="1:7" x14ac:dyDescent="0.25">
      <c r="A10" s="15">
        <v>46208</v>
      </c>
      <c r="B10" s="16" t="s">
        <v>45</v>
      </c>
      <c r="C10" s="17"/>
      <c r="D10" s="18"/>
      <c r="E10" s="19">
        <f>IF(WEEKDAY(A10,2)&lt;=5,Übersicht!$B$4,0)</f>
        <v>0</v>
      </c>
      <c r="F10" s="19" t="str">
        <f t="shared" si="0"/>
        <v/>
      </c>
      <c r="G10" s="20"/>
    </row>
    <row r="11" spans="1:7" x14ac:dyDescent="0.25">
      <c r="A11" s="21">
        <v>46209</v>
      </c>
      <c r="B11" s="22" t="s">
        <v>46</v>
      </c>
      <c r="C11" s="23" t="s">
        <v>55</v>
      </c>
      <c r="D11" s="24">
        <v>8</v>
      </c>
      <c r="E11" s="10">
        <f>IF(WEEKDAY(A11,2)&lt;=5,Übersicht!$B$4,0)</f>
        <v>8</v>
      </c>
      <c r="F11" s="10">
        <f t="shared" si="0"/>
        <v>0</v>
      </c>
      <c r="G11" s="25"/>
    </row>
    <row r="12" spans="1:7" x14ac:dyDescent="0.25">
      <c r="A12" s="21">
        <v>46210</v>
      </c>
      <c r="B12" s="22" t="s">
        <v>47</v>
      </c>
      <c r="C12" s="23" t="s">
        <v>55</v>
      </c>
      <c r="D12" s="24">
        <v>8</v>
      </c>
      <c r="E12" s="10">
        <f>IF(WEEKDAY(A12,2)&lt;=5,Übersicht!$B$4,0)</f>
        <v>8</v>
      </c>
      <c r="F12" s="10">
        <f t="shared" si="0"/>
        <v>0</v>
      </c>
      <c r="G12" s="25"/>
    </row>
    <row r="13" spans="1:7" x14ac:dyDescent="0.25">
      <c r="A13" s="21">
        <v>46211</v>
      </c>
      <c r="B13" s="22" t="s">
        <v>48</v>
      </c>
      <c r="C13" s="23" t="s">
        <v>55</v>
      </c>
      <c r="D13" s="24">
        <v>8</v>
      </c>
      <c r="E13" s="10">
        <f>IF(WEEKDAY(A13,2)&lt;=5,Übersicht!$B$4,0)</f>
        <v>8</v>
      </c>
      <c r="F13" s="10">
        <f t="shared" si="0"/>
        <v>0</v>
      </c>
      <c r="G13" s="25"/>
    </row>
    <row r="14" spans="1:7" x14ac:dyDescent="0.25">
      <c r="A14" s="21">
        <v>46212</v>
      </c>
      <c r="B14" s="22" t="s">
        <v>49</v>
      </c>
      <c r="C14" s="23" t="s">
        <v>55</v>
      </c>
      <c r="D14" s="24">
        <v>8</v>
      </c>
      <c r="E14" s="10">
        <f>IF(WEEKDAY(A14,2)&lt;=5,Übersicht!$B$4,0)</f>
        <v>8</v>
      </c>
      <c r="F14" s="10">
        <f t="shared" si="0"/>
        <v>0</v>
      </c>
      <c r="G14" s="25"/>
    </row>
    <row r="15" spans="1:7" x14ac:dyDescent="0.25">
      <c r="A15" s="21">
        <v>46213</v>
      </c>
      <c r="B15" s="22" t="s">
        <v>50</v>
      </c>
      <c r="C15" s="23" t="s">
        <v>57</v>
      </c>
      <c r="D15" s="24"/>
      <c r="E15" s="10">
        <f>IF(WEEKDAY(A15,2)&lt;=5,Übersicht!$B$4,0)</f>
        <v>8</v>
      </c>
      <c r="F15" s="10" t="str">
        <f t="shared" si="0"/>
        <v/>
      </c>
      <c r="G15" s="25" t="s">
        <v>59</v>
      </c>
    </row>
    <row r="16" spans="1:7" x14ac:dyDescent="0.25">
      <c r="A16" s="15">
        <v>46214</v>
      </c>
      <c r="B16" s="16" t="s">
        <v>44</v>
      </c>
      <c r="C16" s="17"/>
      <c r="D16" s="18"/>
      <c r="E16" s="19">
        <f>IF(WEEKDAY(A16,2)&lt;=5,Übersicht!$B$4,0)</f>
        <v>0</v>
      </c>
      <c r="F16" s="19" t="str">
        <f t="shared" si="0"/>
        <v/>
      </c>
      <c r="G16" s="20"/>
    </row>
    <row r="17" spans="1:7" x14ac:dyDescent="0.25">
      <c r="A17" s="15">
        <v>46215</v>
      </c>
      <c r="B17" s="16" t="s">
        <v>45</v>
      </c>
      <c r="C17" s="17"/>
      <c r="D17" s="18"/>
      <c r="E17" s="19">
        <f>IF(WEEKDAY(A17,2)&lt;=5,Übersicht!$B$4,0)</f>
        <v>0</v>
      </c>
      <c r="F17" s="19" t="str">
        <f t="shared" si="0"/>
        <v/>
      </c>
      <c r="G17" s="20"/>
    </row>
    <row r="18" spans="1:7" x14ac:dyDescent="0.25">
      <c r="A18" s="21">
        <v>46216</v>
      </c>
      <c r="B18" s="22" t="s">
        <v>46</v>
      </c>
      <c r="C18" s="23" t="s">
        <v>55</v>
      </c>
      <c r="D18" s="24">
        <v>8</v>
      </c>
      <c r="E18" s="10">
        <f>IF(WEEKDAY(A18,2)&lt;=5,Übersicht!$B$4,0)</f>
        <v>8</v>
      </c>
      <c r="F18" s="10">
        <f t="shared" si="0"/>
        <v>0</v>
      </c>
      <c r="G18" s="25"/>
    </row>
    <row r="19" spans="1:7" x14ac:dyDescent="0.25">
      <c r="A19" s="21">
        <v>46217</v>
      </c>
      <c r="B19" s="22" t="s">
        <v>47</v>
      </c>
      <c r="C19" s="23" t="s">
        <v>55</v>
      </c>
      <c r="D19" s="24">
        <v>8</v>
      </c>
      <c r="E19" s="10">
        <f>IF(WEEKDAY(A19,2)&lt;=5,Übersicht!$B$4,0)</f>
        <v>8</v>
      </c>
      <c r="F19" s="10">
        <f t="shared" si="0"/>
        <v>0</v>
      </c>
      <c r="G19" s="25"/>
    </row>
    <row r="20" spans="1:7" x14ac:dyDescent="0.25">
      <c r="A20" s="21">
        <v>46218</v>
      </c>
      <c r="B20" s="22" t="s">
        <v>48</v>
      </c>
      <c r="C20" s="23" t="s">
        <v>55</v>
      </c>
      <c r="D20" s="24">
        <v>8</v>
      </c>
      <c r="E20" s="10">
        <f>IF(WEEKDAY(A20,2)&lt;=5,Übersicht!$B$4,0)</f>
        <v>8</v>
      </c>
      <c r="F20" s="10">
        <f t="shared" si="0"/>
        <v>0</v>
      </c>
      <c r="G20" s="25"/>
    </row>
    <row r="21" spans="1:7" x14ac:dyDescent="0.25">
      <c r="A21" s="21">
        <v>46219</v>
      </c>
      <c r="B21" s="22" t="s">
        <v>49</v>
      </c>
      <c r="C21" s="23" t="s">
        <v>55</v>
      </c>
      <c r="D21" s="24">
        <v>8</v>
      </c>
      <c r="E21" s="10">
        <f>IF(WEEKDAY(A21,2)&lt;=5,Übersicht!$B$4,0)</f>
        <v>8</v>
      </c>
      <c r="F21" s="10">
        <f t="shared" si="0"/>
        <v>0</v>
      </c>
      <c r="G21" s="25"/>
    </row>
    <row r="22" spans="1:7" x14ac:dyDescent="0.25">
      <c r="A22" s="21">
        <v>46220</v>
      </c>
      <c r="B22" s="22" t="s">
        <v>50</v>
      </c>
      <c r="C22" s="23" t="s">
        <v>56</v>
      </c>
      <c r="D22" s="24"/>
      <c r="E22" s="10">
        <f>IF(WEEKDAY(A22,2)&lt;=5,Übersicht!$B$4,0)</f>
        <v>8</v>
      </c>
      <c r="F22" s="10">
        <f t="shared" si="0"/>
        <v>0</v>
      </c>
      <c r="G22" s="25"/>
    </row>
    <row r="23" spans="1:7" x14ac:dyDescent="0.25">
      <c r="A23" s="15">
        <v>46221</v>
      </c>
      <c r="B23" s="16" t="s">
        <v>44</v>
      </c>
      <c r="C23" s="17"/>
      <c r="D23" s="18"/>
      <c r="E23" s="19">
        <f>IF(WEEKDAY(A23,2)&lt;=5,Übersicht!$B$4,0)</f>
        <v>0</v>
      </c>
      <c r="F23" s="19" t="str">
        <f t="shared" si="0"/>
        <v/>
      </c>
      <c r="G23" s="20"/>
    </row>
    <row r="24" spans="1:7" x14ac:dyDescent="0.25">
      <c r="A24" s="15">
        <v>46222</v>
      </c>
      <c r="B24" s="16" t="s">
        <v>45</v>
      </c>
      <c r="C24" s="17"/>
      <c r="D24" s="18"/>
      <c r="E24" s="19">
        <f>IF(WEEKDAY(A24,2)&lt;=5,Übersicht!$B$4,0)</f>
        <v>0</v>
      </c>
      <c r="F24" s="19" t="str">
        <f t="shared" si="0"/>
        <v/>
      </c>
      <c r="G24" s="20"/>
    </row>
    <row r="25" spans="1:7" x14ac:dyDescent="0.25">
      <c r="A25" s="21">
        <v>46223</v>
      </c>
      <c r="B25" s="22" t="s">
        <v>46</v>
      </c>
      <c r="C25" s="23" t="s">
        <v>55</v>
      </c>
      <c r="D25" s="24">
        <v>8</v>
      </c>
      <c r="E25" s="10">
        <f>IF(WEEKDAY(A25,2)&lt;=5,Übersicht!$B$4,0)</f>
        <v>8</v>
      </c>
      <c r="F25" s="10">
        <f t="shared" si="0"/>
        <v>0</v>
      </c>
      <c r="G25" s="25"/>
    </row>
    <row r="26" spans="1:7" x14ac:dyDescent="0.25">
      <c r="A26" s="21">
        <v>46224</v>
      </c>
      <c r="B26" s="22" t="s">
        <v>47</v>
      </c>
      <c r="C26" s="23" t="s">
        <v>55</v>
      </c>
      <c r="D26" s="24">
        <v>8</v>
      </c>
      <c r="E26" s="10">
        <f>IF(WEEKDAY(A26,2)&lt;=5,Übersicht!$B$4,0)</f>
        <v>8</v>
      </c>
      <c r="F26" s="10">
        <f t="shared" si="0"/>
        <v>0</v>
      </c>
      <c r="G26" s="25"/>
    </row>
    <row r="27" spans="1:7" x14ac:dyDescent="0.25">
      <c r="A27" s="21">
        <v>46225</v>
      </c>
      <c r="B27" s="22" t="s">
        <v>48</v>
      </c>
      <c r="C27" s="23" t="s">
        <v>55</v>
      </c>
      <c r="D27" s="24">
        <v>8</v>
      </c>
      <c r="E27" s="10">
        <f>IF(WEEKDAY(A27,2)&lt;=5,Übersicht!$B$4,0)</f>
        <v>8</v>
      </c>
      <c r="F27" s="10">
        <f t="shared" si="0"/>
        <v>0</v>
      </c>
      <c r="G27" s="25"/>
    </row>
    <row r="28" spans="1:7" x14ac:dyDescent="0.25">
      <c r="A28" s="21">
        <v>46226</v>
      </c>
      <c r="B28" s="22" t="s">
        <v>49</v>
      </c>
      <c r="C28" s="23" t="s">
        <v>55</v>
      </c>
      <c r="D28" s="24">
        <v>8</v>
      </c>
      <c r="E28" s="10">
        <f>IF(WEEKDAY(A28,2)&lt;=5,Übersicht!$B$4,0)</f>
        <v>8</v>
      </c>
      <c r="F28" s="10">
        <f t="shared" si="0"/>
        <v>0</v>
      </c>
      <c r="G28" s="25"/>
    </row>
    <row r="29" spans="1:7" x14ac:dyDescent="0.25">
      <c r="A29" s="21">
        <v>46227</v>
      </c>
      <c r="B29" s="22" t="s">
        <v>50</v>
      </c>
      <c r="C29" s="23" t="s">
        <v>55</v>
      </c>
      <c r="D29" s="24">
        <v>8</v>
      </c>
      <c r="E29" s="10">
        <f>IF(WEEKDAY(A29,2)&lt;=5,Übersicht!$B$4,0)</f>
        <v>8</v>
      </c>
      <c r="F29" s="10">
        <f t="shared" si="0"/>
        <v>0</v>
      </c>
      <c r="G29" s="25"/>
    </row>
    <row r="30" spans="1:7" x14ac:dyDescent="0.25">
      <c r="A30" s="15">
        <v>46228</v>
      </c>
      <c r="B30" s="16" t="s">
        <v>44</v>
      </c>
      <c r="C30" s="17"/>
      <c r="D30" s="18"/>
      <c r="E30" s="19">
        <f>IF(WEEKDAY(A30,2)&lt;=5,Übersicht!$B$4,0)</f>
        <v>0</v>
      </c>
      <c r="F30" s="19" t="str">
        <f t="shared" si="0"/>
        <v/>
      </c>
      <c r="G30" s="20"/>
    </row>
    <row r="31" spans="1:7" x14ac:dyDescent="0.25">
      <c r="A31" s="15">
        <v>46229</v>
      </c>
      <c r="B31" s="16" t="s">
        <v>45</v>
      </c>
      <c r="C31" s="17"/>
      <c r="D31" s="18"/>
      <c r="E31" s="19">
        <f>IF(WEEKDAY(A31,2)&lt;=5,Übersicht!$B$4,0)</f>
        <v>0</v>
      </c>
      <c r="F31" s="19" t="str">
        <f t="shared" si="0"/>
        <v/>
      </c>
      <c r="G31" s="20"/>
    </row>
    <row r="32" spans="1:7" x14ac:dyDescent="0.25">
      <c r="A32" s="21">
        <v>46230</v>
      </c>
      <c r="B32" s="22" t="s">
        <v>46</v>
      </c>
      <c r="C32" s="23" t="s">
        <v>55</v>
      </c>
      <c r="D32" s="24">
        <v>8</v>
      </c>
      <c r="E32" s="10">
        <f>IF(WEEKDAY(A32,2)&lt;=5,Übersicht!$B$4,0)</f>
        <v>8</v>
      </c>
      <c r="F32" s="10">
        <f t="shared" si="0"/>
        <v>0</v>
      </c>
      <c r="G32" s="25"/>
    </row>
    <row r="33" spans="1:7" x14ac:dyDescent="0.25">
      <c r="A33" s="21">
        <v>46231</v>
      </c>
      <c r="B33" s="22" t="s">
        <v>47</v>
      </c>
      <c r="C33" s="23" t="s">
        <v>55</v>
      </c>
      <c r="D33" s="24">
        <v>8</v>
      </c>
      <c r="E33" s="10">
        <f>IF(WEEKDAY(A33,2)&lt;=5,Übersicht!$B$4,0)</f>
        <v>8</v>
      </c>
      <c r="F33" s="10">
        <f t="shared" si="0"/>
        <v>0</v>
      </c>
      <c r="G33" s="25"/>
    </row>
    <row r="34" spans="1:7" x14ac:dyDescent="0.25">
      <c r="A34" s="21">
        <v>46232</v>
      </c>
      <c r="B34" s="22" t="s">
        <v>48</v>
      </c>
      <c r="C34" s="23" t="s">
        <v>55</v>
      </c>
      <c r="D34" s="24">
        <v>8</v>
      </c>
      <c r="E34" s="10">
        <f>IF(WEEKDAY(A34,2)&lt;=5,Übersicht!$B$4,0)</f>
        <v>8</v>
      </c>
      <c r="F34" s="10">
        <f t="shared" si="0"/>
        <v>0</v>
      </c>
      <c r="G34" s="25"/>
    </row>
    <row r="35" spans="1:7" x14ac:dyDescent="0.25">
      <c r="A35" s="21">
        <v>46233</v>
      </c>
      <c r="B35" s="22" t="s">
        <v>49</v>
      </c>
      <c r="C35" s="23" t="s">
        <v>55</v>
      </c>
      <c r="D35" s="24">
        <v>8</v>
      </c>
      <c r="E35" s="10">
        <f>IF(WEEKDAY(A35,2)&lt;=5,Übersicht!$B$4,0)</f>
        <v>8</v>
      </c>
      <c r="F35" s="10">
        <f t="shared" si="0"/>
        <v>0</v>
      </c>
      <c r="G35" s="25"/>
    </row>
    <row r="36" spans="1:7" x14ac:dyDescent="0.25">
      <c r="A36" s="21">
        <v>46234</v>
      </c>
      <c r="B36" s="22" t="s">
        <v>50</v>
      </c>
      <c r="C36" s="23" t="s">
        <v>55</v>
      </c>
      <c r="D36" s="24">
        <v>8</v>
      </c>
      <c r="E36" s="10">
        <f>IF(WEEKDAY(A36,2)&lt;=5,Übersicht!$B$4,0)</f>
        <v>8</v>
      </c>
      <c r="F36" s="10">
        <f t="shared" si="0"/>
        <v>0</v>
      </c>
      <c r="G36" s="25"/>
    </row>
    <row r="38" spans="1:7" x14ac:dyDescent="0.25">
      <c r="A38" s="11" t="s">
        <v>51</v>
      </c>
      <c r="B38" s="26"/>
      <c r="C38" s="26"/>
      <c r="D38" s="12">
        <f>SUM(D6:D36)+SUMIF(C6:C36,"U",E6:E36)+SUMIF(C6:C36,"K",E6:E36)+SUMIF(C6:C36,"F",E6:E36)+SUMIF(C6:C36,"G",E6:E36)</f>
        <v>176</v>
      </c>
      <c r="E38" s="12">
        <f>SUM(E6:E36)</f>
        <v>184</v>
      </c>
      <c r="F38" s="12">
        <f>SUM(F6:F36)</f>
        <v>0</v>
      </c>
      <c r="G38" s="26"/>
    </row>
    <row r="39" spans="1:7" x14ac:dyDescent="0.25">
      <c r="A39" s="5" t="s">
        <v>11</v>
      </c>
      <c r="B39" s="27">
        <f>COUNTIF(E6:E36,"&gt;0")</f>
        <v>23</v>
      </c>
    </row>
    <row r="40" spans="1:7" x14ac:dyDescent="0.25">
      <c r="A40" s="5" t="s">
        <v>16</v>
      </c>
      <c r="B40" s="27">
        <f>COUNTIF(C6:C36,"U")</f>
        <v>1</v>
      </c>
    </row>
    <row r="41" spans="1:7" x14ac:dyDescent="0.25">
      <c r="A41" s="5" t="s">
        <v>17</v>
      </c>
      <c r="B41" s="27">
        <f>COUNTIF(C6:C36,"K")</f>
        <v>0</v>
      </c>
    </row>
    <row r="42" spans="1:7" x14ac:dyDescent="0.25">
      <c r="A42" s="5" t="s">
        <v>52</v>
      </c>
      <c r="B42" s="28">
        <f>Übersicht!F33</f>
        <v>0</v>
      </c>
    </row>
  </sheetData>
  <mergeCells count="1">
    <mergeCell ref="B2:D2"/>
  </mergeCells>
  <dataValidations count="1">
    <dataValidation type="list" allowBlank="1" sqref="C6:C36" xr:uid="{00000000-0002-0000-1200-000000000000}">
      <formula1>"U,K,F,G"</formula1>
      <formula2>0</formula2>
    </dataValidation>
  </dataValidations>
  <pageMargins left="0.75" right="0.75" top="1" bottom="1" header="0.511811023622047" footer="0.511811023622047"/>
  <pageSetup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G42"/>
  <sheetViews>
    <sheetView zoomScaleNormal="100" workbookViewId="0">
      <pane ySplit="5" topLeftCell="A6" activePane="bottomLeft" state="frozen"/>
      <selection pane="bottomLeft" activeCell="B2" sqref="B2:D2"/>
    </sheetView>
  </sheetViews>
  <sheetFormatPr baseColWidth="10" defaultColWidth="8.7109375" defaultRowHeight="15" x14ac:dyDescent="0.25"/>
  <cols>
    <col min="1" max="1" width="12" customWidth="1"/>
    <col min="2" max="3" width="6" customWidth="1"/>
    <col min="4" max="5" width="10" customWidth="1"/>
    <col min="6" max="6" width="11" customWidth="1"/>
    <col min="7" max="7" width="36" customWidth="1"/>
  </cols>
  <sheetData>
    <row r="1" spans="1:7" ht="18" x14ac:dyDescent="0.25">
      <c r="A1" s="2" t="s">
        <v>54</v>
      </c>
    </row>
    <row r="2" spans="1:7" x14ac:dyDescent="0.25">
      <c r="A2" s="3" t="s">
        <v>38</v>
      </c>
      <c r="B2" s="29" t="s">
        <v>60</v>
      </c>
      <c r="C2" s="29"/>
      <c r="D2" s="29"/>
    </row>
    <row r="3" spans="1:7" x14ac:dyDescent="0.25">
      <c r="A3" s="13" t="s">
        <v>39</v>
      </c>
    </row>
    <row r="5" spans="1:7" x14ac:dyDescent="0.25">
      <c r="A5" s="14" t="s">
        <v>40</v>
      </c>
      <c r="B5" s="14" t="s">
        <v>41</v>
      </c>
      <c r="C5" s="14" t="s">
        <v>42</v>
      </c>
      <c r="D5" s="14" t="s">
        <v>13</v>
      </c>
      <c r="E5" s="14" t="s">
        <v>12</v>
      </c>
      <c r="F5" s="14" t="s">
        <v>14</v>
      </c>
      <c r="G5" s="14" t="s">
        <v>43</v>
      </c>
    </row>
    <row r="6" spans="1:7" x14ac:dyDescent="0.25">
      <c r="A6" s="15">
        <v>46235</v>
      </c>
      <c r="B6" s="16" t="s">
        <v>44</v>
      </c>
      <c r="C6" s="17"/>
      <c r="D6" s="18"/>
      <c r="E6" s="19">
        <f>IF(WEEKDAY(A6,2)&lt;=5,Übersicht!$B$4,0)</f>
        <v>0</v>
      </c>
      <c r="F6" s="19" t="str">
        <f t="shared" ref="F6:F36" si="0">IF(OR(C6="U",C6="K",C6="F",C6="G"),IF(D6="",0,D6),IF(D6="","",D6-E6))</f>
        <v/>
      </c>
      <c r="G6" s="20"/>
    </row>
    <row r="7" spans="1:7" x14ac:dyDescent="0.25">
      <c r="A7" s="15">
        <v>46236</v>
      </c>
      <c r="B7" s="16" t="s">
        <v>45</v>
      </c>
      <c r="C7" s="17"/>
      <c r="D7" s="18"/>
      <c r="E7" s="19">
        <f>IF(WEEKDAY(A7,2)&lt;=5,Übersicht!$B$4,0)</f>
        <v>0</v>
      </c>
      <c r="F7" s="19" t="str">
        <f t="shared" si="0"/>
        <v/>
      </c>
      <c r="G7" s="20"/>
    </row>
    <row r="8" spans="1:7" x14ac:dyDescent="0.25">
      <c r="A8" s="21">
        <v>46237</v>
      </c>
      <c r="B8" s="22" t="s">
        <v>46</v>
      </c>
      <c r="C8" s="23" t="s">
        <v>55</v>
      </c>
      <c r="D8" s="24">
        <v>8</v>
      </c>
      <c r="E8" s="10">
        <f>IF(WEEKDAY(A8,2)&lt;=5,Übersicht!$B$4,0)</f>
        <v>8</v>
      </c>
      <c r="F8" s="10">
        <f t="shared" si="0"/>
        <v>0</v>
      </c>
      <c r="G8" s="25"/>
    </row>
    <row r="9" spans="1:7" x14ac:dyDescent="0.25">
      <c r="A9" s="21">
        <v>46238</v>
      </c>
      <c r="B9" s="22" t="s">
        <v>47</v>
      </c>
      <c r="C9" s="23" t="s">
        <v>55</v>
      </c>
      <c r="D9" s="24">
        <v>8</v>
      </c>
      <c r="E9" s="10">
        <f>IF(WEEKDAY(A9,2)&lt;=5,Übersicht!$B$4,0)</f>
        <v>8</v>
      </c>
      <c r="F9" s="10">
        <f t="shared" si="0"/>
        <v>0</v>
      </c>
      <c r="G9" s="25"/>
    </row>
    <row r="10" spans="1:7" x14ac:dyDescent="0.25">
      <c r="A10" s="21">
        <v>46239</v>
      </c>
      <c r="B10" s="22" t="s">
        <v>48</v>
      </c>
      <c r="C10" s="23" t="s">
        <v>55</v>
      </c>
      <c r="D10" s="24">
        <v>8</v>
      </c>
      <c r="E10" s="10">
        <f>IF(WEEKDAY(A10,2)&lt;=5,Übersicht!$B$4,0)</f>
        <v>8</v>
      </c>
      <c r="F10" s="10">
        <f t="shared" si="0"/>
        <v>0</v>
      </c>
      <c r="G10" s="25"/>
    </row>
    <row r="11" spans="1:7" x14ac:dyDescent="0.25">
      <c r="A11" s="21">
        <v>46240</v>
      </c>
      <c r="B11" s="22" t="s">
        <v>49</v>
      </c>
      <c r="C11" s="23" t="s">
        <v>55</v>
      </c>
      <c r="D11" s="24">
        <v>8</v>
      </c>
      <c r="E11" s="10">
        <f>IF(WEEKDAY(A11,2)&lt;=5,Übersicht!$B$4,0)</f>
        <v>8</v>
      </c>
      <c r="F11" s="10">
        <f t="shared" si="0"/>
        <v>0</v>
      </c>
      <c r="G11" s="25"/>
    </row>
    <row r="12" spans="1:7" x14ac:dyDescent="0.25">
      <c r="A12" s="21">
        <v>46241</v>
      </c>
      <c r="B12" s="22" t="s">
        <v>50</v>
      </c>
      <c r="C12" s="23" t="s">
        <v>56</v>
      </c>
      <c r="D12" s="24"/>
      <c r="E12" s="10">
        <f>IF(WEEKDAY(A12,2)&lt;=5,Übersicht!$B$4,0)</f>
        <v>8</v>
      </c>
      <c r="F12" s="10">
        <f t="shared" si="0"/>
        <v>0</v>
      </c>
      <c r="G12" s="25"/>
    </row>
    <row r="13" spans="1:7" x14ac:dyDescent="0.25">
      <c r="A13" s="15">
        <v>46242</v>
      </c>
      <c r="B13" s="16" t="s">
        <v>44</v>
      </c>
      <c r="C13" s="17"/>
      <c r="D13" s="18"/>
      <c r="E13" s="19">
        <f>IF(WEEKDAY(A13,2)&lt;=5,Übersicht!$B$4,0)</f>
        <v>0</v>
      </c>
      <c r="F13" s="19" t="str">
        <f t="shared" si="0"/>
        <v/>
      </c>
      <c r="G13" s="20"/>
    </row>
    <row r="14" spans="1:7" x14ac:dyDescent="0.25">
      <c r="A14" s="15">
        <v>46243</v>
      </c>
      <c r="B14" s="16" t="s">
        <v>45</v>
      </c>
      <c r="C14" s="17"/>
      <c r="D14" s="18"/>
      <c r="E14" s="19">
        <f>IF(WEEKDAY(A14,2)&lt;=5,Übersicht!$B$4,0)</f>
        <v>0</v>
      </c>
      <c r="F14" s="19" t="str">
        <f t="shared" si="0"/>
        <v/>
      </c>
      <c r="G14" s="20"/>
    </row>
    <row r="15" spans="1:7" x14ac:dyDescent="0.25">
      <c r="A15" s="21">
        <v>46244</v>
      </c>
      <c r="B15" s="22" t="s">
        <v>46</v>
      </c>
      <c r="C15" s="23" t="s">
        <v>56</v>
      </c>
      <c r="D15" s="24"/>
      <c r="E15" s="10">
        <f>IF(WEEKDAY(A15,2)&lt;=5,Übersicht!$B$4,0)</f>
        <v>8</v>
      </c>
      <c r="F15" s="10">
        <f t="shared" si="0"/>
        <v>0</v>
      </c>
      <c r="G15" s="25"/>
    </row>
    <row r="16" spans="1:7" x14ac:dyDescent="0.25">
      <c r="A16" s="21">
        <v>46245</v>
      </c>
      <c r="B16" s="22" t="s">
        <v>47</v>
      </c>
      <c r="C16" s="23" t="s">
        <v>56</v>
      </c>
      <c r="D16" s="24"/>
      <c r="E16" s="10">
        <f>IF(WEEKDAY(A16,2)&lt;=5,Übersicht!$B$4,0)</f>
        <v>8</v>
      </c>
      <c r="F16" s="10">
        <f t="shared" si="0"/>
        <v>0</v>
      </c>
      <c r="G16" s="25"/>
    </row>
    <row r="17" spans="1:7" x14ac:dyDescent="0.25">
      <c r="A17" s="21">
        <v>46246</v>
      </c>
      <c r="B17" s="22" t="s">
        <v>48</v>
      </c>
      <c r="C17" s="23" t="s">
        <v>56</v>
      </c>
      <c r="D17" s="24"/>
      <c r="E17" s="10">
        <f>IF(WEEKDAY(A17,2)&lt;=5,Übersicht!$B$4,0)</f>
        <v>8</v>
      </c>
      <c r="F17" s="10">
        <f t="shared" si="0"/>
        <v>0</v>
      </c>
      <c r="G17" s="25"/>
    </row>
    <row r="18" spans="1:7" x14ac:dyDescent="0.25">
      <c r="A18" s="21">
        <v>46247</v>
      </c>
      <c r="B18" s="22" t="s">
        <v>49</v>
      </c>
      <c r="C18" s="23" t="s">
        <v>56</v>
      </c>
      <c r="D18" s="24"/>
      <c r="E18" s="10">
        <f>IF(WEEKDAY(A18,2)&lt;=5,Übersicht!$B$4,0)</f>
        <v>8</v>
      </c>
      <c r="F18" s="10">
        <f t="shared" si="0"/>
        <v>0</v>
      </c>
      <c r="G18" s="25"/>
    </row>
    <row r="19" spans="1:7" x14ac:dyDescent="0.25">
      <c r="A19" s="21">
        <v>46248</v>
      </c>
      <c r="B19" s="22" t="s">
        <v>50</v>
      </c>
      <c r="C19" s="23" t="s">
        <v>56</v>
      </c>
      <c r="D19" s="24"/>
      <c r="E19" s="10">
        <f>IF(WEEKDAY(A19,2)&lt;=5,Übersicht!$B$4,0)</f>
        <v>8</v>
      </c>
      <c r="F19" s="10">
        <f t="shared" si="0"/>
        <v>0</v>
      </c>
      <c r="G19" s="25"/>
    </row>
    <row r="20" spans="1:7" x14ac:dyDescent="0.25">
      <c r="A20" s="15">
        <v>46249</v>
      </c>
      <c r="B20" s="16" t="s">
        <v>44</v>
      </c>
      <c r="C20" s="17"/>
      <c r="D20" s="18"/>
      <c r="E20" s="19">
        <f>IF(WEEKDAY(A20,2)&lt;=5,Übersicht!$B$4,0)</f>
        <v>0</v>
      </c>
      <c r="F20" s="19" t="str">
        <f t="shared" si="0"/>
        <v/>
      </c>
      <c r="G20" s="20"/>
    </row>
    <row r="21" spans="1:7" x14ac:dyDescent="0.25">
      <c r="A21" s="15">
        <v>46250</v>
      </c>
      <c r="B21" s="16" t="s">
        <v>45</v>
      </c>
      <c r="C21" s="17"/>
      <c r="D21" s="18"/>
      <c r="E21" s="19">
        <f>IF(WEEKDAY(A21,2)&lt;=5,Übersicht!$B$4,0)</f>
        <v>0</v>
      </c>
      <c r="F21" s="19" t="str">
        <f t="shared" si="0"/>
        <v/>
      </c>
      <c r="G21" s="20"/>
    </row>
    <row r="22" spans="1:7" x14ac:dyDescent="0.25">
      <c r="A22" s="21">
        <v>46251</v>
      </c>
      <c r="B22" s="22" t="s">
        <v>46</v>
      </c>
      <c r="C22" s="23" t="s">
        <v>56</v>
      </c>
      <c r="D22" s="24"/>
      <c r="E22" s="10">
        <f>IF(WEEKDAY(A22,2)&lt;=5,Übersicht!$B$4,0)</f>
        <v>8</v>
      </c>
      <c r="F22" s="10">
        <f t="shared" si="0"/>
        <v>0</v>
      </c>
      <c r="G22" s="25"/>
    </row>
    <row r="23" spans="1:7" x14ac:dyDescent="0.25">
      <c r="A23" s="21">
        <v>46252</v>
      </c>
      <c r="B23" s="22" t="s">
        <v>47</v>
      </c>
      <c r="C23" s="23" t="s">
        <v>56</v>
      </c>
      <c r="D23" s="24"/>
      <c r="E23" s="10">
        <f>IF(WEEKDAY(A23,2)&lt;=5,Übersicht!$B$4,0)</f>
        <v>8</v>
      </c>
      <c r="F23" s="10">
        <f t="shared" si="0"/>
        <v>0</v>
      </c>
      <c r="G23" s="25"/>
    </row>
    <row r="24" spans="1:7" x14ac:dyDescent="0.25">
      <c r="A24" s="21">
        <v>46253</v>
      </c>
      <c r="B24" s="22" t="s">
        <v>48</v>
      </c>
      <c r="C24" s="23" t="s">
        <v>55</v>
      </c>
      <c r="D24" s="24">
        <v>8</v>
      </c>
      <c r="E24" s="10">
        <f>IF(WEEKDAY(A24,2)&lt;=5,Übersicht!$B$4,0)</f>
        <v>8</v>
      </c>
      <c r="F24" s="10">
        <f t="shared" si="0"/>
        <v>0</v>
      </c>
      <c r="G24" s="25"/>
    </row>
    <row r="25" spans="1:7" x14ac:dyDescent="0.25">
      <c r="A25" s="21">
        <v>46254</v>
      </c>
      <c r="B25" s="22" t="s">
        <v>49</v>
      </c>
      <c r="C25" s="23" t="s">
        <v>55</v>
      </c>
      <c r="D25" s="24">
        <v>8</v>
      </c>
      <c r="E25" s="10">
        <f>IF(WEEKDAY(A25,2)&lt;=5,Übersicht!$B$4,0)</f>
        <v>8</v>
      </c>
      <c r="F25" s="10">
        <f t="shared" si="0"/>
        <v>0</v>
      </c>
      <c r="G25" s="25"/>
    </row>
    <row r="26" spans="1:7" x14ac:dyDescent="0.25">
      <c r="A26" s="21">
        <v>46255</v>
      </c>
      <c r="B26" s="22" t="s">
        <v>50</v>
      </c>
      <c r="C26" s="23" t="s">
        <v>55</v>
      </c>
      <c r="D26" s="24">
        <v>8</v>
      </c>
      <c r="E26" s="10">
        <f>IF(WEEKDAY(A26,2)&lt;=5,Übersicht!$B$4,0)</f>
        <v>8</v>
      </c>
      <c r="F26" s="10">
        <f t="shared" si="0"/>
        <v>0</v>
      </c>
      <c r="G26" s="25"/>
    </row>
    <row r="27" spans="1:7" x14ac:dyDescent="0.25">
      <c r="A27" s="15">
        <v>46256</v>
      </c>
      <c r="B27" s="16" t="s">
        <v>44</v>
      </c>
      <c r="C27" s="17"/>
      <c r="D27" s="18"/>
      <c r="E27" s="19">
        <f>IF(WEEKDAY(A27,2)&lt;=5,Übersicht!$B$4,0)</f>
        <v>0</v>
      </c>
      <c r="F27" s="19" t="str">
        <f t="shared" si="0"/>
        <v/>
      </c>
      <c r="G27" s="20"/>
    </row>
    <row r="28" spans="1:7" x14ac:dyDescent="0.25">
      <c r="A28" s="15">
        <v>46257</v>
      </c>
      <c r="B28" s="16" t="s">
        <v>45</v>
      </c>
      <c r="C28" s="17"/>
      <c r="D28" s="18"/>
      <c r="E28" s="19">
        <f>IF(WEEKDAY(A28,2)&lt;=5,Übersicht!$B$4,0)</f>
        <v>0</v>
      </c>
      <c r="F28" s="19" t="str">
        <f t="shared" si="0"/>
        <v/>
      </c>
      <c r="G28" s="20"/>
    </row>
    <row r="29" spans="1:7" x14ac:dyDescent="0.25">
      <c r="A29" s="21">
        <v>46258</v>
      </c>
      <c r="B29" s="22" t="s">
        <v>46</v>
      </c>
      <c r="C29" s="23" t="s">
        <v>55</v>
      </c>
      <c r="D29" s="24">
        <v>8</v>
      </c>
      <c r="E29" s="10">
        <f>IF(WEEKDAY(A29,2)&lt;=5,Übersicht!$B$4,0)</f>
        <v>8</v>
      </c>
      <c r="F29" s="10">
        <f t="shared" si="0"/>
        <v>0</v>
      </c>
      <c r="G29" s="25"/>
    </row>
    <row r="30" spans="1:7" x14ac:dyDescent="0.25">
      <c r="A30" s="21">
        <v>46259</v>
      </c>
      <c r="B30" s="22" t="s">
        <v>47</v>
      </c>
      <c r="C30" s="23" t="s">
        <v>56</v>
      </c>
      <c r="D30" s="24"/>
      <c r="E30" s="10">
        <f>IF(WEEKDAY(A30,2)&lt;=5,Übersicht!$B$4,0)</f>
        <v>8</v>
      </c>
      <c r="F30" s="10">
        <f t="shared" si="0"/>
        <v>0</v>
      </c>
      <c r="G30" s="25"/>
    </row>
    <row r="31" spans="1:7" x14ac:dyDescent="0.25">
      <c r="A31" s="21">
        <v>46260</v>
      </c>
      <c r="B31" s="22" t="s">
        <v>48</v>
      </c>
      <c r="C31" s="23" t="s">
        <v>57</v>
      </c>
      <c r="D31" s="24"/>
      <c r="E31" s="10">
        <f>IF(WEEKDAY(A31,2)&lt;=5,Übersicht!$B$4,0)</f>
        <v>8</v>
      </c>
      <c r="F31" s="10" t="str">
        <f t="shared" si="0"/>
        <v/>
      </c>
      <c r="G31" s="25" t="s">
        <v>58</v>
      </c>
    </row>
    <row r="32" spans="1:7" x14ac:dyDescent="0.25">
      <c r="A32" s="21">
        <v>46261</v>
      </c>
      <c r="B32" s="22" t="s">
        <v>49</v>
      </c>
      <c r="C32" s="23" t="s">
        <v>57</v>
      </c>
      <c r="D32" s="24"/>
      <c r="E32" s="10">
        <f>IF(WEEKDAY(A32,2)&lt;=5,Übersicht!$B$4,0)</f>
        <v>8</v>
      </c>
      <c r="F32" s="10" t="str">
        <f t="shared" si="0"/>
        <v/>
      </c>
      <c r="G32" s="25" t="s">
        <v>58</v>
      </c>
    </row>
    <row r="33" spans="1:7" x14ac:dyDescent="0.25">
      <c r="A33" s="21">
        <v>46262</v>
      </c>
      <c r="B33" s="22" t="s">
        <v>50</v>
      </c>
      <c r="C33" s="23" t="s">
        <v>55</v>
      </c>
      <c r="D33" s="24">
        <v>8</v>
      </c>
      <c r="E33" s="10">
        <f>IF(WEEKDAY(A33,2)&lt;=5,Übersicht!$B$4,0)</f>
        <v>8</v>
      </c>
      <c r="F33" s="10">
        <f t="shared" si="0"/>
        <v>0</v>
      </c>
      <c r="G33" s="25"/>
    </row>
    <row r="34" spans="1:7" x14ac:dyDescent="0.25">
      <c r="A34" s="15">
        <v>46263</v>
      </c>
      <c r="B34" s="16" t="s">
        <v>44</v>
      </c>
      <c r="C34" s="17"/>
      <c r="D34" s="18"/>
      <c r="E34" s="19">
        <f>IF(WEEKDAY(A34,2)&lt;=5,Übersicht!$B$4,0)</f>
        <v>0</v>
      </c>
      <c r="F34" s="19" t="str">
        <f t="shared" si="0"/>
        <v/>
      </c>
      <c r="G34" s="20"/>
    </row>
    <row r="35" spans="1:7" x14ac:dyDescent="0.25">
      <c r="A35" s="15">
        <v>46264</v>
      </c>
      <c r="B35" s="16" t="s">
        <v>45</v>
      </c>
      <c r="C35" s="17"/>
      <c r="D35" s="18"/>
      <c r="E35" s="19">
        <f>IF(WEEKDAY(A35,2)&lt;=5,Übersicht!$B$4,0)</f>
        <v>0</v>
      </c>
      <c r="F35" s="19" t="str">
        <f t="shared" si="0"/>
        <v/>
      </c>
      <c r="G35" s="20"/>
    </row>
    <row r="36" spans="1:7" x14ac:dyDescent="0.25">
      <c r="A36" s="21">
        <v>46265</v>
      </c>
      <c r="B36" s="22" t="s">
        <v>46</v>
      </c>
      <c r="C36" s="23" t="s">
        <v>55</v>
      </c>
      <c r="D36" s="24">
        <v>8</v>
      </c>
      <c r="E36" s="10">
        <f>IF(WEEKDAY(A36,2)&lt;=5,Übersicht!$B$4,0)</f>
        <v>8</v>
      </c>
      <c r="F36" s="10">
        <f t="shared" si="0"/>
        <v>0</v>
      </c>
      <c r="G36" s="25"/>
    </row>
    <row r="38" spans="1:7" x14ac:dyDescent="0.25">
      <c r="A38" s="11" t="s">
        <v>51</v>
      </c>
      <c r="B38" s="26"/>
      <c r="C38" s="26"/>
      <c r="D38" s="12">
        <f>SUM(D6:D36)+SUMIF(C6:C36,"U",E6:E36)+SUMIF(C6:C36,"K",E6:E36)+SUMIF(C6:C36,"F",E6:E36)+SUMIF(C6:C36,"G",E6:E36)</f>
        <v>152</v>
      </c>
      <c r="E38" s="12">
        <f>SUM(E6:E36)</f>
        <v>168</v>
      </c>
      <c r="F38" s="12">
        <f>SUM(F6:F36)</f>
        <v>0</v>
      </c>
      <c r="G38" s="26"/>
    </row>
    <row r="39" spans="1:7" x14ac:dyDescent="0.25">
      <c r="A39" s="5" t="s">
        <v>11</v>
      </c>
      <c r="B39" s="27">
        <f>COUNTIF(E6:E36,"&gt;0")</f>
        <v>21</v>
      </c>
    </row>
    <row r="40" spans="1:7" x14ac:dyDescent="0.25">
      <c r="A40" s="5" t="s">
        <v>16</v>
      </c>
      <c r="B40" s="27">
        <f>COUNTIF(C6:C36,"U")</f>
        <v>9</v>
      </c>
    </row>
    <row r="41" spans="1:7" x14ac:dyDescent="0.25">
      <c r="A41" s="5" t="s">
        <v>17</v>
      </c>
      <c r="B41" s="27">
        <f>COUNTIF(C6:C36,"K")</f>
        <v>0</v>
      </c>
    </row>
    <row r="42" spans="1:7" x14ac:dyDescent="0.25">
      <c r="A42" s="5" t="s">
        <v>52</v>
      </c>
      <c r="B42" s="28">
        <f>Übersicht!F34</f>
        <v>0</v>
      </c>
    </row>
  </sheetData>
  <mergeCells count="1">
    <mergeCell ref="B2:D2"/>
  </mergeCells>
  <dataValidations count="1">
    <dataValidation type="list" allowBlank="1" sqref="C6:C36" xr:uid="{00000000-0002-0000-1300-000000000000}">
      <formula1>"U,K,F,G"</formula1>
      <formula2>0</formula2>
    </dataValidation>
  </dataValidations>
  <pageMargins left="0.75" right="0.75" top="1" bottom="1" header="0.511811023622047" footer="0.511811023622047"/>
  <pageSetup orientation="portrait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Übersicht</vt:lpstr>
      <vt:lpstr>Jul 2026</vt:lpstr>
      <vt:lpstr>Aug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Simon Blasen</cp:lastModifiedBy>
  <cp:revision>0</cp:revision>
  <dcterms:created xsi:type="dcterms:W3CDTF">2026-09-11T09:52:54Z</dcterms:created>
  <dcterms:modified xsi:type="dcterms:W3CDTF">2026-09-18T09:53:54Z</dcterms:modified>
  <dc:language>en-US</dc:language>
</cp:coreProperties>
</file>