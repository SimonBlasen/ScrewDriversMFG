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ScrewDriversMFG\Screw Drivers\Endbericht\Unterlagen\"/>
    </mc:Choice>
  </mc:AlternateContent>
  <xr:revisionPtr revIDLastSave="0" documentId="13_ncr:1_{FCF0DC11-D30D-48DC-8F39-3683B68F6931}" xr6:coauthVersionLast="47" xr6:coauthVersionMax="47" xr10:uidLastSave="{00000000-0000-0000-0000-000000000000}"/>
  <bookViews>
    <workbookView xWindow="38355" yWindow="3825" windowWidth="28125" windowHeight="24495" tabRatio="500" xr2:uid="{00000000-000D-0000-FFFF-FFFF00000000}"/>
  </bookViews>
  <sheets>
    <sheet name="Übersicht" sheetId="1" r:id="rId1"/>
    <sheet name="Feb 2025" sheetId="2" r:id="rId2"/>
    <sheet name="Mär 2025" sheetId="3" r:id="rId3"/>
    <sheet name="Apr 2025" sheetId="4" r:id="rId4"/>
    <sheet name="Mai 2025" sheetId="5" r:id="rId5"/>
    <sheet name="Jun 2025" sheetId="6" r:id="rId6"/>
    <sheet name="Jul 2025" sheetId="7" r:id="rId7"/>
    <sheet name="Aug 2025" sheetId="8" r:id="rId8"/>
    <sheet name="Sep 2025" sheetId="9" r:id="rId9"/>
    <sheet name="Okt 2025" sheetId="10" r:id="rId10"/>
    <sheet name="Nov 2025" sheetId="11" r:id="rId11"/>
    <sheet name="Dez 2025" sheetId="12" r:id="rId12"/>
    <sheet name="Jan 2026" sheetId="13" r:id="rId13"/>
    <sheet name="Feb 2026" sheetId="14" r:id="rId14"/>
    <sheet name="Mär 2026" sheetId="15" r:id="rId15"/>
    <sheet name="Apr 2026" sheetId="16" r:id="rId16"/>
    <sheet name="Mai 2026" sheetId="17" r:id="rId17"/>
    <sheet name="Jun 2026" sheetId="18" r:id="rId18"/>
    <sheet name="Jul 2026" sheetId="19" r:id="rId19"/>
    <sheet name="Aug 2026" sheetId="20" r:id="rId2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" i="16" l="1"/>
  <c r="E6" i="9"/>
  <c r="E7" i="9"/>
  <c r="E8" i="9"/>
  <c r="B41" i="20"/>
  <c r="H34" i="1" s="1"/>
  <c r="B40" i="20"/>
  <c r="G34" i="1" s="1"/>
  <c r="D38" i="20"/>
  <c r="D34" i="1" s="1"/>
  <c r="F36" i="20"/>
  <c r="E36" i="20"/>
  <c r="F35" i="20"/>
  <c r="E35" i="20"/>
  <c r="F34" i="20"/>
  <c r="E34" i="20"/>
  <c r="F33" i="20"/>
  <c r="E33" i="20"/>
  <c r="F32" i="20"/>
  <c r="E32" i="20"/>
  <c r="F31" i="20"/>
  <c r="E31" i="20"/>
  <c r="F30" i="20"/>
  <c r="E30" i="20"/>
  <c r="F29" i="20"/>
  <c r="E29" i="20"/>
  <c r="F28" i="20"/>
  <c r="E28" i="20"/>
  <c r="F27" i="20"/>
  <c r="E27" i="20"/>
  <c r="F26" i="20"/>
  <c r="E26" i="20"/>
  <c r="F25" i="20"/>
  <c r="E25" i="20"/>
  <c r="F24" i="20"/>
  <c r="E24" i="20"/>
  <c r="F23" i="20"/>
  <c r="E23" i="20"/>
  <c r="F22" i="20"/>
  <c r="E22" i="20"/>
  <c r="F21" i="20"/>
  <c r="E21" i="20"/>
  <c r="F20" i="20"/>
  <c r="E20" i="20"/>
  <c r="F19" i="20"/>
  <c r="E19" i="20"/>
  <c r="F18" i="20"/>
  <c r="E18" i="20"/>
  <c r="F17" i="20"/>
  <c r="E17" i="20"/>
  <c r="F16" i="20"/>
  <c r="E16" i="20"/>
  <c r="F15" i="20"/>
  <c r="E15" i="20"/>
  <c r="F14" i="20"/>
  <c r="E14" i="20"/>
  <c r="F13" i="20"/>
  <c r="E13" i="20"/>
  <c r="F12" i="20"/>
  <c r="E12" i="20"/>
  <c r="F11" i="20"/>
  <c r="E11" i="20"/>
  <c r="F10" i="20"/>
  <c r="E10" i="20"/>
  <c r="F9" i="20"/>
  <c r="E9" i="20"/>
  <c r="F8" i="20"/>
  <c r="E8" i="20"/>
  <c r="F7" i="20"/>
  <c r="E7" i="20"/>
  <c r="F6" i="20"/>
  <c r="E6" i="20"/>
  <c r="B41" i="19"/>
  <c r="H33" i="1" s="1"/>
  <c r="B40" i="19"/>
  <c r="G33" i="1" s="1"/>
  <c r="D38" i="19"/>
  <c r="D33" i="1" s="1"/>
  <c r="F36" i="19"/>
  <c r="E36" i="19"/>
  <c r="F35" i="19"/>
  <c r="E35" i="19"/>
  <c r="F34" i="19"/>
  <c r="E34" i="19"/>
  <c r="F33" i="19"/>
  <c r="E33" i="19"/>
  <c r="F32" i="19"/>
  <c r="E32" i="19"/>
  <c r="F31" i="19"/>
  <c r="E31" i="19"/>
  <c r="F30" i="19"/>
  <c r="E30" i="19"/>
  <c r="F29" i="19"/>
  <c r="E29" i="19"/>
  <c r="F28" i="19"/>
  <c r="E28" i="19"/>
  <c r="F27" i="19"/>
  <c r="E27" i="19"/>
  <c r="F26" i="19"/>
  <c r="E26" i="19"/>
  <c r="F25" i="19"/>
  <c r="E25" i="19"/>
  <c r="F24" i="19"/>
  <c r="E24" i="19"/>
  <c r="F23" i="19"/>
  <c r="E23" i="19"/>
  <c r="F22" i="19"/>
  <c r="E22" i="19"/>
  <c r="F21" i="19"/>
  <c r="E21" i="19"/>
  <c r="F20" i="19"/>
  <c r="E20" i="19"/>
  <c r="F19" i="19"/>
  <c r="E19" i="19"/>
  <c r="F18" i="19"/>
  <c r="E18" i="19"/>
  <c r="F17" i="19"/>
  <c r="E17" i="19"/>
  <c r="F16" i="19"/>
  <c r="E16" i="19"/>
  <c r="F15" i="19"/>
  <c r="E15" i="19"/>
  <c r="F14" i="19"/>
  <c r="E14" i="19"/>
  <c r="F13" i="19"/>
  <c r="E13" i="19"/>
  <c r="F12" i="19"/>
  <c r="E12" i="19"/>
  <c r="F11" i="19"/>
  <c r="E11" i="19"/>
  <c r="F10" i="19"/>
  <c r="E10" i="19"/>
  <c r="F9" i="19"/>
  <c r="E9" i="19"/>
  <c r="F8" i="19"/>
  <c r="E8" i="19"/>
  <c r="F7" i="19"/>
  <c r="E7" i="19"/>
  <c r="F6" i="19"/>
  <c r="E6" i="19"/>
  <c r="B41" i="18"/>
  <c r="H32" i="1" s="1"/>
  <c r="B40" i="18"/>
  <c r="G32" i="1" s="1"/>
  <c r="F35" i="18"/>
  <c r="E35" i="18"/>
  <c r="F34" i="18"/>
  <c r="E34" i="18"/>
  <c r="F33" i="18"/>
  <c r="E33" i="18"/>
  <c r="F32" i="18"/>
  <c r="E32" i="18"/>
  <c r="F31" i="18"/>
  <c r="E31" i="18"/>
  <c r="F30" i="18"/>
  <c r="E30" i="18"/>
  <c r="F29" i="18"/>
  <c r="E29" i="18"/>
  <c r="F28" i="18"/>
  <c r="E28" i="18"/>
  <c r="F27" i="18"/>
  <c r="E27" i="18"/>
  <c r="F26" i="18"/>
  <c r="E26" i="18"/>
  <c r="F25" i="18"/>
  <c r="E25" i="18"/>
  <c r="F24" i="18"/>
  <c r="E24" i="18"/>
  <c r="F23" i="18"/>
  <c r="E23" i="18"/>
  <c r="F22" i="18"/>
  <c r="E22" i="18"/>
  <c r="F21" i="18"/>
  <c r="E21" i="18"/>
  <c r="F20" i="18"/>
  <c r="E20" i="18"/>
  <c r="F19" i="18"/>
  <c r="E19" i="18"/>
  <c r="F18" i="18"/>
  <c r="E18" i="18"/>
  <c r="F17" i="18"/>
  <c r="E17" i="18"/>
  <c r="F16" i="18"/>
  <c r="E16" i="18"/>
  <c r="F15" i="18"/>
  <c r="E15" i="18"/>
  <c r="F14" i="18"/>
  <c r="E14" i="18"/>
  <c r="F13" i="18"/>
  <c r="E13" i="18"/>
  <c r="F12" i="18"/>
  <c r="E12" i="18"/>
  <c r="F11" i="18"/>
  <c r="E11" i="18"/>
  <c r="F10" i="18"/>
  <c r="E10" i="18"/>
  <c r="F9" i="18"/>
  <c r="E9" i="18"/>
  <c r="D38" i="18" s="1"/>
  <c r="D32" i="1" s="1"/>
  <c r="F8" i="18"/>
  <c r="E8" i="18"/>
  <c r="F7" i="18"/>
  <c r="E7" i="18"/>
  <c r="F6" i="18"/>
  <c r="E6" i="18"/>
  <c r="B41" i="17"/>
  <c r="H31" i="1" s="1"/>
  <c r="B40" i="17"/>
  <c r="G31" i="1" s="1"/>
  <c r="F36" i="17"/>
  <c r="E36" i="17"/>
  <c r="F35" i="17"/>
  <c r="E35" i="17"/>
  <c r="F34" i="17"/>
  <c r="E34" i="17"/>
  <c r="F33" i="17"/>
  <c r="E33" i="17"/>
  <c r="F32" i="17"/>
  <c r="E32" i="17"/>
  <c r="F31" i="17"/>
  <c r="E31" i="17"/>
  <c r="F30" i="17"/>
  <c r="E30" i="17"/>
  <c r="F29" i="17"/>
  <c r="E29" i="17"/>
  <c r="F28" i="17"/>
  <c r="E28" i="17"/>
  <c r="F27" i="17"/>
  <c r="E27" i="17"/>
  <c r="F26" i="17"/>
  <c r="E26" i="17"/>
  <c r="F25" i="17"/>
  <c r="E25" i="17"/>
  <c r="F24" i="17"/>
  <c r="E24" i="17"/>
  <c r="F23" i="17"/>
  <c r="E23" i="17"/>
  <c r="F22" i="17"/>
  <c r="E22" i="17"/>
  <c r="F21" i="17"/>
  <c r="E21" i="17"/>
  <c r="F20" i="17"/>
  <c r="E20" i="17"/>
  <c r="F19" i="17"/>
  <c r="E19" i="17"/>
  <c r="F18" i="17"/>
  <c r="E18" i="17"/>
  <c r="F17" i="17"/>
  <c r="E17" i="17"/>
  <c r="F16" i="17"/>
  <c r="E16" i="17"/>
  <c r="F15" i="17"/>
  <c r="E15" i="17"/>
  <c r="F14" i="17"/>
  <c r="E14" i="17"/>
  <c r="F13" i="17"/>
  <c r="E13" i="17"/>
  <c r="F12" i="17"/>
  <c r="E12" i="17"/>
  <c r="F11" i="17"/>
  <c r="E11" i="17"/>
  <c r="F10" i="17"/>
  <c r="E10" i="17"/>
  <c r="F9" i="17"/>
  <c r="E9" i="17"/>
  <c r="F8" i="17"/>
  <c r="E8" i="17"/>
  <c r="F7" i="17"/>
  <c r="E7" i="17"/>
  <c r="F6" i="17"/>
  <c r="E6" i="17"/>
  <c r="B41" i="16"/>
  <c r="H30" i="1" s="1"/>
  <c r="B40" i="16"/>
  <c r="G30" i="1" s="1"/>
  <c r="F35" i="16"/>
  <c r="E35" i="16"/>
  <c r="F34" i="16"/>
  <c r="E34" i="16"/>
  <c r="F33" i="16"/>
  <c r="E33" i="16"/>
  <c r="F32" i="16"/>
  <c r="E32" i="16"/>
  <c r="F31" i="16"/>
  <c r="E31" i="16"/>
  <c r="F30" i="16"/>
  <c r="E30" i="16"/>
  <c r="B39" i="16" s="1"/>
  <c r="B30" i="1" s="1"/>
  <c r="F29" i="16"/>
  <c r="E29" i="16"/>
  <c r="F28" i="16"/>
  <c r="E28" i="16"/>
  <c r="F27" i="16"/>
  <c r="E27" i="16"/>
  <c r="F26" i="16"/>
  <c r="E26" i="16"/>
  <c r="F25" i="16"/>
  <c r="E25" i="16"/>
  <c r="F24" i="16"/>
  <c r="E24" i="16"/>
  <c r="F23" i="16"/>
  <c r="E23" i="16"/>
  <c r="F22" i="16"/>
  <c r="E22" i="16"/>
  <c r="F21" i="16"/>
  <c r="E21" i="16"/>
  <c r="F20" i="16"/>
  <c r="E20" i="16"/>
  <c r="F19" i="16"/>
  <c r="E19" i="16"/>
  <c r="F18" i="16"/>
  <c r="E18" i="16"/>
  <c r="F17" i="16"/>
  <c r="E17" i="16"/>
  <c r="F16" i="16"/>
  <c r="E16" i="16"/>
  <c r="F15" i="16"/>
  <c r="E15" i="16"/>
  <c r="F14" i="16"/>
  <c r="E14" i="16"/>
  <c r="F13" i="16"/>
  <c r="E13" i="16"/>
  <c r="F12" i="16"/>
  <c r="E12" i="16"/>
  <c r="F11" i="16"/>
  <c r="E11" i="16"/>
  <c r="F10" i="16"/>
  <c r="E10" i="16"/>
  <c r="F9" i="16"/>
  <c r="E9" i="16"/>
  <c r="F8" i="16"/>
  <c r="E8" i="16"/>
  <c r="F7" i="16"/>
  <c r="E7" i="16"/>
  <c r="F6" i="16"/>
  <c r="E6" i="16"/>
  <c r="E38" i="16" s="1"/>
  <c r="C30" i="1" s="1"/>
  <c r="B41" i="15"/>
  <c r="H29" i="1" s="1"/>
  <c r="B40" i="15"/>
  <c r="G29" i="1" s="1"/>
  <c r="D38" i="15"/>
  <c r="D29" i="1" s="1"/>
  <c r="F36" i="15"/>
  <c r="E36" i="15"/>
  <c r="F35" i="15"/>
  <c r="E35" i="15"/>
  <c r="F34" i="15"/>
  <c r="E34" i="15"/>
  <c r="F33" i="15"/>
  <c r="E33" i="15"/>
  <c r="F32" i="15"/>
  <c r="E32" i="15"/>
  <c r="F31" i="15"/>
  <c r="E31" i="15"/>
  <c r="F30" i="15"/>
  <c r="E30" i="15"/>
  <c r="F29" i="15"/>
  <c r="E29" i="15"/>
  <c r="F28" i="15"/>
  <c r="E28" i="15"/>
  <c r="F27" i="15"/>
  <c r="E27" i="15"/>
  <c r="F26" i="15"/>
  <c r="E26" i="15"/>
  <c r="F25" i="15"/>
  <c r="E25" i="15"/>
  <c r="F24" i="15"/>
  <c r="E24" i="15"/>
  <c r="F23" i="15"/>
  <c r="E23" i="15"/>
  <c r="F22" i="15"/>
  <c r="E22" i="15"/>
  <c r="F21" i="15"/>
  <c r="E21" i="15"/>
  <c r="F20" i="15"/>
  <c r="E20" i="15"/>
  <c r="F19" i="15"/>
  <c r="E19" i="15"/>
  <c r="F18" i="15"/>
  <c r="E18" i="15"/>
  <c r="F17" i="15"/>
  <c r="E17" i="15"/>
  <c r="F16" i="15"/>
  <c r="E16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E7" i="15"/>
  <c r="F6" i="15"/>
  <c r="E6" i="15"/>
  <c r="B41" i="14"/>
  <c r="H28" i="1" s="1"/>
  <c r="B40" i="14"/>
  <c r="G28" i="1" s="1"/>
  <c r="D38" i="14"/>
  <c r="D28" i="1" s="1"/>
  <c r="F33" i="14"/>
  <c r="E33" i="14"/>
  <c r="F32" i="14"/>
  <c r="E32" i="14"/>
  <c r="F31" i="14"/>
  <c r="E31" i="14"/>
  <c r="F30" i="14"/>
  <c r="E30" i="14"/>
  <c r="F29" i="14"/>
  <c r="E29" i="14"/>
  <c r="F28" i="14"/>
  <c r="E28" i="14"/>
  <c r="F27" i="14"/>
  <c r="E27" i="14"/>
  <c r="F26" i="14"/>
  <c r="E26" i="14"/>
  <c r="F25" i="14"/>
  <c r="E25" i="14"/>
  <c r="F24" i="14"/>
  <c r="E24" i="14"/>
  <c r="F23" i="14"/>
  <c r="E23" i="14"/>
  <c r="F22" i="14"/>
  <c r="E22" i="14"/>
  <c r="F21" i="14"/>
  <c r="E21" i="14"/>
  <c r="F20" i="14"/>
  <c r="E20" i="14"/>
  <c r="F19" i="14"/>
  <c r="E19" i="14"/>
  <c r="F18" i="14"/>
  <c r="E18" i="14"/>
  <c r="F17" i="14"/>
  <c r="E17" i="14"/>
  <c r="F16" i="14"/>
  <c r="E16" i="14"/>
  <c r="F15" i="14"/>
  <c r="E15" i="14"/>
  <c r="F14" i="14"/>
  <c r="E14" i="14"/>
  <c r="F13" i="14"/>
  <c r="E13" i="14"/>
  <c r="F12" i="14"/>
  <c r="E12" i="14"/>
  <c r="F11" i="14"/>
  <c r="E11" i="14"/>
  <c r="F10" i="14"/>
  <c r="E10" i="14"/>
  <c r="F9" i="14"/>
  <c r="E9" i="14"/>
  <c r="F8" i="14"/>
  <c r="E8" i="14"/>
  <c r="F7" i="14"/>
  <c r="E7" i="14"/>
  <c r="F6" i="14"/>
  <c r="E6" i="14"/>
  <c r="B41" i="13"/>
  <c r="H27" i="1" s="1"/>
  <c r="B40" i="13"/>
  <c r="G27" i="1" s="1"/>
  <c r="F36" i="13"/>
  <c r="E36" i="13"/>
  <c r="F35" i="13"/>
  <c r="E35" i="13"/>
  <c r="F34" i="13"/>
  <c r="E34" i="13"/>
  <c r="F33" i="13"/>
  <c r="E33" i="13"/>
  <c r="F32" i="13"/>
  <c r="E32" i="13"/>
  <c r="F31" i="13"/>
  <c r="E31" i="13"/>
  <c r="F30" i="13"/>
  <c r="E30" i="13"/>
  <c r="F29" i="13"/>
  <c r="E29" i="13"/>
  <c r="F28" i="13"/>
  <c r="E28" i="13"/>
  <c r="F27" i="13"/>
  <c r="E27" i="13"/>
  <c r="F26" i="13"/>
  <c r="E26" i="13"/>
  <c r="F25" i="13"/>
  <c r="E25" i="13"/>
  <c r="F24" i="13"/>
  <c r="E24" i="13"/>
  <c r="F23" i="13"/>
  <c r="E23" i="13"/>
  <c r="F22" i="13"/>
  <c r="E22" i="13"/>
  <c r="F21" i="13"/>
  <c r="E21" i="13"/>
  <c r="F20" i="13"/>
  <c r="E20" i="13"/>
  <c r="F19" i="13"/>
  <c r="E19" i="13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F7" i="13"/>
  <c r="E7" i="13"/>
  <c r="F6" i="13"/>
  <c r="E6" i="13"/>
  <c r="B41" i="12"/>
  <c r="H26" i="1" s="1"/>
  <c r="B40" i="12"/>
  <c r="G26" i="1" s="1"/>
  <c r="D38" i="12"/>
  <c r="D26" i="1" s="1"/>
  <c r="F36" i="12"/>
  <c r="E36" i="12"/>
  <c r="F35" i="12"/>
  <c r="E35" i="12"/>
  <c r="F34" i="12"/>
  <c r="E34" i="12"/>
  <c r="F33" i="12"/>
  <c r="E33" i="12"/>
  <c r="F32" i="12"/>
  <c r="E32" i="12"/>
  <c r="F31" i="12"/>
  <c r="E31" i="12"/>
  <c r="F30" i="12"/>
  <c r="E30" i="12"/>
  <c r="F29" i="12"/>
  <c r="E29" i="12"/>
  <c r="F28" i="12"/>
  <c r="E28" i="12"/>
  <c r="F27" i="12"/>
  <c r="E27" i="12"/>
  <c r="F26" i="12"/>
  <c r="E26" i="12"/>
  <c r="F25" i="12"/>
  <c r="E25" i="12"/>
  <c r="F24" i="12"/>
  <c r="E24" i="12"/>
  <c r="F23" i="12"/>
  <c r="E23" i="12"/>
  <c r="F22" i="12"/>
  <c r="E22" i="12"/>
  <c r="F21" i="12"/>
  <c r="E21" i="12"/>
  <c r="F20" i="12"/>
  <c r="E20" i="12"/>
  <c r="F19" i="12"/>
  <c r="E19" i="12"/>
  <c r="F18" i="12"/>
  <c r="E18" i="12"/>
  <c r="F17" i="12"/>
  <c r="E17" i="12"/>
  <c r="F16" i="12"/>
  <c r="E16" i="12"/>
  <c r="F15" i="12"/>
  <c r="E15" i="12"/>
  <c r="F14" i="12"/>
  <c r="E14" i="12"/>
  <c r="F13" i="12"/>
  <c r="E13" i="12"/>
  <c r="F12" i="12"/>
  <c r="E12" i="12"/>
  <c r="F11" i="12"/>
  <c r="E11" i="12"/>
  <c r="F10" i="12"/>
  <c r="E10" i="12"/>
  <c r="F9" i="12"/>
  <c r="E9" i="12"/>
  <c r="F8" i="12"/>
  <c r="E8" i="12"/>
  <c r="F7" i="12"/>
  <c r="E7" i="12"/>
  <c r="F6" i="12"/>
  <c r="E6" i="12"/>
  <c r="B41" i="11"/>
  <c r="H25" i="1" s="1"/>
  <c r="B40" i="11"/>
  <c r="G25" i="1" s="1"/>
  <c r="D38" i="11"/>
  <c r="D25" i="1" s="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B41" i="10"/>
  <c r="H24" i="1" s="1"/>
  <c r="B40" i="10"/>
  <c r="G24" i="1" s="1"/>
  <c r="D38" i="10"/>
  <c r="D24" i="1" s="1"/>
  <c r="F36" i="10"/>
  <c r="E36" i="10"/>
  <c r="F35" i="10"/>
  <c r="E35" i="10"/>
  <c r="F34" i="10"/>
  <c r="E34" i="10"/>
  <c r="F33" i="10"/>
  <c r="E33" i="10"/>
  <c r="F32" i="10"/>
  <c r="E32" i="10"/>
  <c r="F31" i="10"/>
  <c r="E31" i="10"/>
  <c r="F30" i="10"/>
  <c r="E30" i="10"/>
  <c r="F29" i="10"/>
  <c r="E29" i="10"/>
  <c r="F28" i="10"/>
  <c r="E28" i="10"/>
  <c r="F27" i="10"/>
  <c r="E27" i="10"/>
  <c r="F26" i="10"/>
  <c r="E26" i="10"/>
  <c r="F25" i="10"/>
  <c r="E25" i="10"/>
  <c r="F24" i="10"/>
  <c r="E24" i="10"/>
  <c r="F23" i="10"/>
  <c r="E23" i="10"/>
  <c r="F22" i="10"/>
  <c r="E22" i="10"/>
  <c r="F21" i="10"/>
  <c r="E21" i="10"/>
  <c r="F20" i="10"/>
  <c r="E20" i="10"/>
  <c r="F19" i="10"/>
  <c r="E19" i="10"/>
  <c r="F18" i="10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E8" i="10"/>
  <c r="F7" i="10"/>
  <c r="E7" i="10"/>
  <c r="F6" i="10"/>
  <c r="E6" i="10"/>
  <c r="B41" i="9"/>
  <c r="H23" i="1" s="1"/>
  <c r="B40" i="9"/>
  <c r="G23" i="1" s="1"/>
  <c r="D38" i="9"/>
  <c r="D23" i="1" s="1"/>
  <c r="F35" i="9"/>
  <c r="E35" i="9"/>
  <c r="F34" i="9"/>
  <c r="E34" i="9"/>
  <c r="F33" i="9"/>
  <c r="E33" i="9"/>
  <c r="F32" i="9"/>
  <c r="E32" i="9"/>
  <c r="F31" i="9"/>
  <c r="E31" i="9"/>
  <c r="F30" i="9"/>
  <c r="E30" i="9"/>
  <c r="F29" i="9"/>
  <c r="E29" i="9"/>
  <c r="F28" i="9"/>
  <c r="E28" i="9"/>
  <c r="F27" i="9"/>
  <c r="E27" i="9"/>
  <c r="F26" i="9"/>
  <c r="E26" i="9"/>
  <c r="F25" i="9"/>
  <c r="E25" i="9"/>
  <c r="F24" i="9"/>
  <c r="E24" i="9"/>
  <c r="F23" i="9"/>
  <c r="E23" i="9"/>
  <c r="F22" i="9"/>
  <c r="E22" i="9"/>
  <c r="F21" i="9"/>
  <c r="E21" i="9"/>
  <c r="F20" i="9"/>
  <c r="E20" i="9"/>
  <c r="F19" i="9"/>
  <c r="E19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8" i="9"/>
  <c r="F7" i="9"/>
  <c r="F6" i="9"/>
  <c r="B41" i="8"/>
  <c r="H22" i="1" s="1"/>
  <c r="B40" i="8"/>
  <c r="G22" i="1" s="1"/>
  <c r="D38" i="8"/>
  <c r="D22" i="1" s="1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B41" i="7"/>
  <c r="H21" i="1" s="1"/>
  <c r="B40" i="7"/>
  <c r="G21" i="1" s="1"/>
  <c r="D38" i="7"/>
  <c r="D21" i="1" s="1"/>
  <c r="F36" i="7"/>
  <c r="E36" i="7"/>
  <c r="F35" i="7"/>
  <c r="E35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B41" i="6"/>
  <c r="H20" i="1" s="1"/>
  <c r="B40" i="6"/>
  <c r="G20" i="1" s="1"/>
  <c r="F35" i="6"/>
  <c r="E35" i="6"/>
  <c r="F34" i="6"/>
  <c r="E34" i="6"/>
  <c r="F33" i="6"/>
  <c r="E33" i="6"/>
  <c r="F32" i="6"/>
  <c r="E32" i="6"/>
  <c r="F31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D38" i="6" s="1"/>
  <c r="D20" i="1" s="1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B41" i="5"/>
  <c r="H19" i="1" s="1"/>
  <c r="B40" i="5"/>
  <c r="G19" i="1" s="1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B41" i="4"/>
  <c r="H18" i="1" s="1"/>
  <c r="B40" i="4"/>
  <c r="G18" i="1" s="1"/>
  <c r="D38" i="4"/>
  <c r="D18" i="1" s="1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B41" i="3"/>
  <c r="H17" i="1" s="1"/>
  <c r="B40" i="3"/>
  <c r="G17" i="1" s="1"/>
  <c r="D38" i="3"/>
  <c r="D17" i="1" s="1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B41" i="2"/>
  <c r="H16" i="1" s="1"/>
  <c r="B40" i="2"/>
  <c r="G16" i="1" s="1"/>
  <c r="D38" i="2"/>
  <c r="D16" i="1" s="1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38" i="20" l="1"/>
  <c r="E34" i="1" s="1"/>
  <c r="F38" i="19"/>
  <c r="E33" i="1" s="1"/>
  <c r="F38" i="18"/>
  <c r="E32" i="1" s="1"/>
  <c r="F38" i="17"/>
  <c r="E31" i="1" s="1"/>
  <c r="D30" i="1"/>
  <c r="F38" i="16"/>
  <c r="E30" i="1" s="1"/>
  <c r="F38" i="15"/>
  <c r="E29" i="1" s="1"/>
  <c r="F38" i="14"/>
  <c r="E28" i="1" s="1"/>
  <c r="F38" i="13"/>
  <c r="E27" i="1" s="1"/>
  <c r="F38" i="12"/>
  <c r="E26" i="1" s="1"/>
  <c r="F38" i="11"/>
  <c r="E25" i="1" s="1"/>
  <c r="F38" i="10"/>
  <c r="E24" i="1" s="1"/>
  <c r="F38" i="9"/>
  <c r="E23" i="1" s="1"/>
  <c r="F38" i="8"/>
  <c r="E22" i="1" s="1"/>
  <c r="F38" i="7"/>
  <c r="E21" i="1" s="1"/>
  <c r="F38" i="6"/>
  <c r="E20" i="1" s="1"/>
  <c r="F38" i="5"/>
  <c r="E19" i="1" s="1"/>
  <c r="F38" i="4"/>
  <c r="E18" i="1" s="1"/>
  <c r="F38" i="3"/>
  <c r="E17" i="1" s="1"/>
  <c r="F38" i="2"/>
  <c r="E16" i="1" s="1"/>
  <c r="E38" i="20"/>
  <c r="C34" i="1" s="1"/>
  <c r="B39" i="20"/>
  <c r="B34" i="1" s="1"/>
  <c r="E38" i="19"/>
  <c r="C33" i="1" s="1"/>
  <c r="B39" i="19"/>
  <c r="B33" i="1" s="1"/>
  <c r="E38" i="18"/>
  <c r="C32" i="1" s="1"/>
  <c r="B39" i="18"/>
  <c r="B32" i="1" s="1"/>
  <c r="B39" i="17"/>
  <c r="B31" i="1" s="1"/>
  <c r="D38" i="17"/>
  <c r="D31" i="1" s="1"/>
  <c r="E38" i="17"/>
  <c r="C31" i="1" s="1"/>
  <c r="E38" i="15"/>
  <c r="C29" i="1" s="1"/>
  <c r="B39" i="15"/>
  <c r="B29" i="1" s="1"/>
  <c r="E38" i="14"/>
  <c r="C28" i="1" s="1"/>
  <c r="B39" i="14"/>
  <c r="B28" i="1" s="1"/>
  <c r="D38" i="13"/>
  <c r="D27" i="1" s="1"/>
  <c r="E38" i="13"/>
  <c r="C27" i="1" s="1"/>
  <c r="B39" i="13"/>
  <c r="B27" i="1" s="1"/>
  <c r="E38" i="12"/>
  <c r="C26" i="1" s="1"/>
  <c r="B39" i="12"/>
  <c r="B26" i="1" s="1"/>
  <c r="E38" i="11"/>
  <c r="C25" i="1" s="1"/>
  <c r="B39" i="11"/>
  <c r="B25" i="1" s="1"/>
  <c r="E38" i="10"/>
  <c r="C24" i="1" s="1"/>
  <c r="B39" i="10"/>
  <c r="B24" i="1" s="1"/>
  <c r="E38" i="9"/>
  <c r="C23" i="1" s="1"/>
  <c r="B39" i="9"/>
  <c r="B23" i="1" s="1"/>
  <c r="B39" i="8"/>
  <c r="B22" i="1" s="1"/>
  <c r="E38" i="8"/>
  <c r="C22" i="1" s="1"/>
  <c r="B39" i="7"/>
  <c r="B21" i="1" s="1"/>
  <c r="E38" i="7"/>
  <c r="C21" i="1" s="1"/>
  <c r="B39" i="6"/>
  <c r="B20" i="1" s="1"/>
  <c r="E38" i="6"/>
  <c r="C20" i="1" s="1"/>
  <c r="B39" i="5"/>
  <c r="B19" i="1" s="1"/>
  <c r="E38" i="5"/>
  <c r="C19" i="1" s="1"/>
  <c r="D38" i="5"/>
  <c r="D19" i="1" s="1"/>
  <c r="B39" i="4"/>
  <c r="B18" i="1" s="1"/>
  <c r="E38" i="4"/>
  <c r="C18" i="1" s="1"/>
  <c r="E38" i="3"/>
  <c r="C17" i="1" s="1"/>
  <c r="B39" i="3"/>
  <c r="B17" i="1" s="1"/>
  <c r="E38" i="2"/>
  <c r="C16" i="1" s="1"/>
  <c r="B39" i="2"/>
  <c r="B16" i="1" s="1"/>
  <c r="H35" i="1"/>
  <c r="G35" i="1"/>
  <c r="D35" i="1" l="1"/>
  <c r="B35" i="1"/>
  <c r="C35" i="1"/>
  <c r="E35" i="1"/>
  <c r="F16" i="1"/>
  <c r="F17" i="1" l="1"/>
  <c r="B42" i="2"/>
  <c r="F18" i="1" l="1"/>
  <c r="B42" i="3"/>
  <c r="F19" i="1" l="1"/>
  <c r="B42" i="4"/>
  <c r="F20" i="1" l="1"/>
  <c r="B42" i="5"/>
  <c r="B42" i="6" l="1"/>
  <c r="F21" i="1"/>
  <c r="F22" i="1" l="1"/>
  <c r="B42" i="7"/>
  <c r="B42" i="8" l="1"/>
  <c r="F23" i="1"/>
  <c r="F24" i="1" l="1"/>
  <c r="B42" i="9"/>
  <c r="B42" i="10" l="1"/>
  <c r="F25" i="1"/>
  <c r="B42" i="11" l="1"/>
  <c r="F26" i="1"/>
  <c r="B42" i="12" l="1"/>
  <c r="F27" i="1"/>
  <c r="B42" i="13" l="1"/>
  <c r="F28" i="1"/>
  <c r="B42" i="14" l="1"/>
  <c r="F29" i="1"/>
  <c r="F30" i="1" l="1"/>
  <c r="B42" i="15"/>
  <c r="B42" i="16" l="1"/>
  <c r="F31" i="1"/>
  <c r="F32" i="1" l="1"/>
  <c r="B42" i="17"/>
  <c r="B42" i="18" l="1"/>
  <c r="F33" i="1"/>
  <c r="B42" i="19" l="1"/>
  <c r="F34" i="1"/>
  <c r="F35" i="1" l="1"/>
  <c r="B4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000-000001000000}">
      <text>
        <r>
          <rPr>
            <sz val="10"/>
            <rFont val="Arial"/>
            <family val="2"/>
          </rPr>
          <t>Annahme: 8 Stunden pro Werktag (Mo–Fr). Bitte an den eigenen Vertrag anpassen – gilt für alle Monatsblätter.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1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2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3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4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5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6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7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8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9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A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B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C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D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E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0F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10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11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12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13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sharedStrings.xml><?xml version="1.0" encoding="utf-8"?>
<sst xmlns="http://schemas.openxmlformats.org/spreadsheetml/2006/main" count="1434" uniqueCount="96">
  <si>
    <t>Zeiterfassung – Übersicht Februar 2025 bis August 2026</t>
  </si>
  <si>
    <t>Einstellungen</t>
  </si>
  <si>
    <t>Soll-Arbeitszeit pro Arbeitstag (Std.)</t>
  </si>
  <si>
    <t>Legende</t>
  </si>
  <si>
    <t>Gelb hinterlegte Zellen mit blauer Schrift = Eingabefelder</t>
  </si>
  <si>
    <t>Weiße Zellen enthalten Formeln – bitte nicht überschreiben</t>
  </si>
  <si>
    <t>Monatsblätter: geleistete Stunden als Dezimalzahl in 'Ist-Std.' eintragen (Beispiel: 8,25 = 8 Std. 15 Min.)</t>
  </si>
  <si>
    <t>Spalte 'Art': leer = Arbeit, U = Urlaub, K = Krank, F = Feiertag, G = Gleittag</t>
  </si>
  <si>
    <t>Bei U / K / F / G wird automatisch die Soll-Zeit als Ist-Zeit gewertet – keine Eingabe nötig</t>
  </si>
  <si>
    <t>Gesetzliche Feiertage Baden-Württemberg sind in den Monatsblättern bereits mit 'F' eingetragen</t>
  </si>
  <si>
    <t>Monat</t>
  </si>
  <si>
    <t>Arbeitstage (Soll)</t>
  </si>
  <si>
    <t>Soll-Std.</t>
  </si>
  <si>
    <t>Ist-Std.</t>
  </si>
  <si>
    <t>Differenz</t>
  </si>
  <si>
    <t>Saldo kumuliert</t>
  </si>
  <si>
    <t>Urlaubstage</t>
  </si>
  <si>
    <t>Krankheitstage</t>
  </si>
  <si>
    <t>Februar 2025</t>
  </si>
  <si>
    <t>März 2025</t>
  </si>
  <si>
    <t>April 2025</t>
  </si>
  <si>
    <t>Mai 2025</t>
  </si>
  <si>
    <t>Juni 2025</t>
  </si>
  <si>
    <t>Juli 2025</t>
  </si>
  <si>
    <t>August 2025</t>
  </si>
  <si>
    <t>September 2025</t>
  </si>
  <si>
    <t>Oktober 2025</t>
  </si>
  <si>
    <t>November 2025</t>
  </si>
  <si>
    <t>Dezember 2025</t>
  </si>
  <si>
    <t>Januar 2026</t>
  </si>
  <si>
    <t>Februar 2026</t>
  </si>
  <si>
    <t>März 2026</t>
  </si>
  <si>
    <t>April 2026</t>
  </si>
  <si>
    <t>Mai 2026</t>
  </si>
  <si>
    <t>Juni 2026</t>
  </si>
  <si>
    <t>Juli 2026</t>
  </si>
  <si>
    <t>August 2026</t>
  </si>
  <si>
    <t>Gesamt</t>
  </si>
  <si>
    <t>Zeiterfassung Februar 2025</t>
  </si>
  <si>
    <t>Name:</t>
  </si>
  <si>
    <t>Gelb = Eingabe · Ist-Std. als Dezimalzahl (8,25 = 8 Std. 15 Min.) · Art: U Urlaub, K Krank, F Feiertag, G Gleittag</t>
  </si>
  <si>
    <t>Datum</t>
  </si>
  <si>
    <t>Tag</t>
  </si>
  <si>
    <t>Art</t>
  </si>
  <si>
    <t>Bemerkung</t>
  </si>
  <si>
    <t>Sa</t>
  </si>
  <si>
    <t>So</t>
  </si>
  <si>
    <t>Mo</t>
  </si>
  <si>
    <t>Di</t>
  </si>
  <si>
    <t>Mi</t>
  </si>
  <si>
    <t>Do</t>
  </si>
  <si>
    <t>Fr</t>
  </si>
  <si>
    <t>Summe</t>
  </si>
  <si>
    <t>Saldo kumuliert (Std.)</t>
  </si>
  <si>
    <t>Zeiterfassung März 2025</t>
  </si>
  <si>
    <t>Zeiterfassung April 2025</t>
  </si>
  <si>
    <t>F</t>
  </si>
  <si>
    <t>Feiertag BW: Karfreitag</t>
  </si>
  <si>
    <t>Feiertag BW: Ostermontag</t>
  </si>
  <si>
    <t>Zeiterfassung Mai 2025</t>
  </si>
  <si>
    <t>Feiertag BW: Tag der Arbeit</t>
  </si>
  <si>
    <t>Feiertag BW: Christi Himmelfahrt</t>
  </si>
  <si>
    <t>Zeiterfassung Juni 2025</t>
  </si>
  <si>
    <t>Feiertag BW: Pfingstmontag</t>
  </si>
  <si>
    <t>Feiertag BW: Fronleichnam</t>
  </si>
  <si>
    <t>Zeiterfassung Juli 2025</t>
  </si>
  <si>
    <t>Zeiterfassung August 2025</t>
  </si>
  <si>
    <t>Zeiterfassung September 2025</t>
  </si>
  <si>
    <t>Zeiterfassung Oktober 2025</t>
  </si>
  <si>
    <t>Feiertag BW: Tag der Deutschen Einheit</t>
  </si>
  <si>
    <t>Zeiterfassung November 2025</t>
  </si>
  <si>
    <t>Feiertag BW: Allerheiligen</t>
  </si>
  <si>
    <t>Zeiterfassung Dezember 2025</t>
  </si>
  <si>
    <t>Feiertag BW: 1. Weihnachtstag</t>
  </si>
  <si>
    <t>Feiertag BW: 2. Weihnachtstag</t>
  </si>
  <si>
    <t>Zeiterfassung Januar 2026</t>
  </si>
  <si>
    <t>Feiertag BW: Neujahr</t>
  </si>
  <si>
    <t>Feiertag BW: Heilige Drei Könige</t>
  </si>
  <si>
    <t>Zeiterfassung Februar 2026</t>
  </si>
  <si>
    <t>Zeiterfassung März 2026</t>
  </si>
  <si>
    <t>Zeiterfassung April 2026</t>
  </si>
  <si>
    <t>Zeiterfassung Mai 2026</t>
  </si>
  <si>
    <t>Zeiterfassung Juni 2026</t>
  </si>
  <si>
    <t>Zeiterfassung Juli 2026</t>
  </si>
  <si>
    <t>Zeiterfassung August 2026</t>
  </si>
  <si>
    <t>SD</t>
  </si>
  <si>
    <t>Simon Blasen</t>
  </si>
  <si>
    <t>U</t>
  </si>
  <si>
    <t>P</t>
  </si>
  <si>
    <t>Safety Game</t>
  </si>
  <si>
    <t>German Dev Days</t>
  </si>
  <si>
    <t>Gamescom</t>
  </si>
  <si>
    <t>Auftragsarbeit</t>
  </si>
  <si>
    <t>Auftragsarbeit Safety Game</t>
  </si>
  <si>
    <t>Auftragsarbeit Weltenbauer</t>
  </si>
  <si>
    <t>Gamestate 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</si>
</sst>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\-"/>
    <numFmt numFmtId="165" formatCode="0.00;[Red]\-0.00;\-"/>
    <numFmt numFmtId="166" formatCode="dd\.mm\.yyyy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1"/>
      <color rgb="FF008000"/>
      <name val="Arial"/>
      <charset val="1"/>
    </font>
    <font>
      <sz val="10"/>
      <name val="Arial"/>
      <family val="2"/>
    </font>
    <font>
      <i/>
      <sz val="9"/>
      <color rgb="FF7F7F7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/>
    <xf numFmtId="0" fontId="1" fillId="0" borderId="0" xfId="0" applyFont="1"/>
    <xf numFmtId="0" fontId="2" fillId="0" borderId="0" xfId="0" applyFont="1"/>
    <xf numFmtId="2" fontId="3" fillId="2" borderId="1" xfId="0" applyNumberFormat="1" applyFont="1" applyFill="1" applyBorder="1"/>
    <xf numFmtId="0" fontId="3" fillId="2" borderId="0" xfId="0" applyFont="1" applyFill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165" fontId="4" fillId="0" borderId="1" xfId="0" applyNumberFormat="1" applyFont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0" fontId="8" fillId="0" borderId="0" xfId="0" applyFont="1"/>
    <xf numFmtId="0" fontId="5" fillId="3" borderId="1" xfId="0" applyFont="1" applyFill="1" applyBorder="1" applyAlignment="1">
      <alignment horizontal="center" vertical="center"/>
    </xf>
    <xf numFmtId="166" fontId="4" fillId="5" borderId="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/>
    <xf numFmtId="165" fontId="4" fillId="5" borderId="1" xfId="0" applyNumberFormat="1" applyFont="1" applyFill="1" applyBorder="1"/>
    <xf numFmtId="0" fontId="3" fillId="5" borderId="1" xfId="0" applyFont="1" applyFill="1" applyBorder="1"/>
    <xf numFmtId="166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/>
    <xf numFmtId="0" fontId="3" fillId="2" borderId="1" xfId="0" applyFont="1" applyFill="1" applyBorder="1"/>
    <xf numFmtId="0" fontId="0" fillId="4" borderId="1" xfId="0" applyFill="1" applyBorder="1"/>
    <xf numFmtId="0" fontId="4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Normal="100" workbookViewId="0">
      <pane ySplit="15" topLeftCell="A16" activePane="bottomLeft" state="frozen"/>
      <selection pane="bottomLeft" activeCell="D28" sqref="D28"/>
    </sheetView>
  </sheetViews>
  <sheetFormatPr baseColWidth="10" defaultColWidth="8.7109375" defaultRowHeight="15" x14ac:dyDescent="0.25"/>
  <cols>
    <col min="1" max="1" width="30" customWidth="1"/>
    <col min="2" max="2" width="14" customWidth="1"/>
    <col min="3" max="5" width="12" customWidth="1"/>
    <col min="6" max="6" width="14" customWidth="1"/>
    <col min="7" max="7" width="13" customWidth="1"/>
    <col min="8" max="8" width="15" customWidth="1"/>
  </cols>
  <sheetData>
    <row r="1" spans="1:8" ht="18" x14ac:dyDescent="0.25">
      <c r="A1" s="2" t="s">
        <v>0</v>
      </c>
    </row>
    <row r="3" spans="1:8" x14ac:dyDescent="0.25">
      <c r="A3" s="3" t="s">
        <v>1</v>
      </c>
    </row>
    <row r="4" spans="1:8" x14ac:dyDescent="0.25">
      <c r="A4" t="s">
        <v>2</v>
      </c>
      <c r="B4" s="4">
        <v>8</v>
      </c>
    </row>
    <row r="6" spans="1:8" x14ac:dyDescent="0.25">
      <c r="A6" s="3" t="s">
        <v>3</v>
      </c>
    </row>
    <row r="7" spans="1:8" x14ac:dyDescent="0.25">
      <c r="A7" s="5" t="s">
        <v>4</v>
      </c>
    </row>
    <row r="8" spans="1:8" x14ac:dyDescent="0.25">
      <c r="A8" s="6" t="s">
        <v>5</v>
      </c>
    </row>
    <row r="9" spans="1:8" x14ac:dyDescent="0.25">
      <c r="A9" s="6" t="s">
        <v>6</v>
      </c>
    </row>
    <row r="10" spans="1:8" x14ac:dyDescent="0.25">
      <c r="A10" s="6" t="s">
        <v>7</v>
      </c>
    </row>
    <row r="11" spans="1:8" x14ac:dyDescent="0.25">
      <c r="A11" s="6" t="s">
        <v>8</v>
      </c>
    </row>
    <row r="12" spans="1:8" x14ac:dyDescent="0.25">
      <c r="A12" s="6" t="s">
        <v>9</v>
      </c>
    </row>
    <row r="15" spans="1:8" ht="30" x14ac:dyDescent="0.25">
      <c r="A15" s="7" t="s">
        <v>10</v>
      </c>
      <c r="B15" s="7" t="s">
        <v>11</v>
      </c>
      <c r="C15" s="7" t="s">
        <v>12</v>
      </c>
      <c r="D15" s="7" t="s">
        <v>13</v>
      </c>
      <c r="E15" s="7" t="s">
        <v>14</v>
      </c>
      <c r="F15" s="7" t="s">
        <v>15</v>
      </c>
      <c r="G15" s="7" t="s">
        <v>16</v>
      </c>
      <c r="H15" s="7" t="s">
        <v>17</v>
      </c>
    </row>
    <row r="16" spans="1:8" x14ac:dyDescent="0.25">
      <c r="A16" s="8" t="s">
        <v>18</v>
      </c>
      <c r="B16" s="9">
        <f>'Feb 2025'!$B$39</f>
        <v>20</v>
      </c>
      <c r="C16" s="10">
        <f>'Feb 2025'!$E$38</f>
        <v>160</v>
      </c>
      <c r="D16" s="10">
        <f>'Feb 2025'!$D$38</f>
        <v>160</v>
      </c>
      <c r="E16" s="10">
        <f>'Feb 2025'!$F$38</f>
        <v>0</v>
      </c>
      <c r="F16" s="11">
        <f>E16</f>
        <v>0</v>
      </c>
      <c r="G16" s="9">
        <f>'Feb 2025'!$B$40</f>
        <v>0</v>
      </c>
      <c r="H16" s="9">
        <f>'Feb 2025'!$B$41</f>
        <v>0</v>
      </c>
    </row>
    <row r="17" spans="1:8" x14ac:dyDescent="0.25">
      <c r="A17" s="8" t="s">
        <v>19</v>
      </c>
      <c r="B17" s="9">
        <f>'Mär 2025'!$B$39</f>
        <v>21</v>
      </c>
      <c r="C17" s="10">
        <f>'Mär 2025'!$E$38</f>
        <v>168</v>
      </c>
      <c r="D17" s="10">
        <f>'Mär 2025'!$D$38</f>
        <v>168</v>
      </c>
      <c r="E17" s="10">
        <f>'Mär 2025'!$F$38</f>
        <v>0</v>
      </c>
      <c r="F17" s="11">
        <f t="shared" ref="F17:F34" si="0">F16+E17</f>
        <v>0</v>
      </c>
      <c r="G17" s="9">
        <f>'Mär 2025'!$B$40</f>
        <v>0</v>
      </c>
      <c r="H17" s="9">
        <f>'Mär 2025'!$B$41</f>
        <v>0</v>
      </c>
    </row>
    <row r="18" spans="1:8" x14ac:dyDescent="0.25">
      <c r="A18" s="8" t="s">
        <v>20</v>
      </c>
      <c r="B18" s="9">
        <f>'Apr 2025'!$B$39</f>
        <v>22</v>
      </c>
      <c r="C18" s="10">
        <f>'Apr 2025'!$E$38</f>
        <v>176</v>
      </c>
      <c r="D18" s="10">
        <f>'Apr 2025'!$D$38</f>
        <v>176</v>
      </c>
      <c r="E18" s="10">
        <f>'Apr 2025'!$F$38</f>
        <v>0</v>
      </c>
      <c r="F18" s="11">
        <f t="shared" si="0"/>
        <v>0</v>
      </c>
      <c r="G18" s="9">
        <f>'Apr 2025'!$B$40</f>
        <v>0</v>
      </c>
      <c r="H18" s="9">
        <f>'Apr 2025'!$B$41</f>
        <v>0</v>
      </c>
    </row>
    <row r="19" spans="1:8" x14ac:dyDescent="0.25">
      <c r="A19" s="8" t="s">
        <v>21</v>
      </c>
      <c r="B19" s="9">
        <f>'Mai 2025'!$B$39</f>
        <v>22</v>
      </c>
      <c r="C19" s="10">
        <f>'Mai 2025'!$E$38</f>
        <v>176</v>
      </c>
      <c r="D19" s="10">
        <f>'Mai 2025'!$D$38</f>
        <v>176</v>
      </c>
      <c r="E19" s="10">
        <f>'Mai 2025'!$F$38</f>
        <v>0</v>
      </c>
      <c r="F19" s="11">
        <f t="shared" si="0"/>
        <v>0</v>
      </c>
      <c r="G19" s="9">
        <f>'Mai 2025'!$B$40</f>
        <v>2</v>
      </c>
      <c r="H19" s="9">
        <f>'Mai 2025'!$B$41</f>
        <v>0</v>
      </c>
    </row>
    <row r="20" spans="1:8" x14ac:dyDescent="0.25">
      <c r="A20" s="8" t="s">
        <v>22</v>
      </c>
      <c r="B20" s="9">
        <f>'Jun 2025'!$B$39</f>
        <v>21</v>
      </c>
      <c r="C20" s="10">
        <f>'Jun 2025'!$E$38</f>
        <v>168</v>
      </c>
      <c r="D20" s="10">
        <f>'Jun 2025'!$D$38</f>
        <v>152</v>
      </c>
      <c r="E20" s="10">
        <f>'Jun 2025'!$F$38</f>
        <v>-16</v>
      </c>
      <c r="F20" s="11">
        <f t="shared" si="0"/>
        <v>-16</v>
      </c>
      <c r="G20" s="9">
        <f>'Jun 2025'!$B$40</f>
        <v>0</v>
      </c>
      <c r="H20" s="9">
        <f>'Jun 2025'!$B$41</f>
        <v>0</v>
      </c>
    </row>
    <row r="21" spans="1:8" x14ac:dyDescent="0.25">
      <c r="A21" s="8" t="s">
        <v>23</v>
      </c>
      <c r="B21" s="9">
        <f>'Jul 2025'!$B$39</f>
        <v>23</v>
      </c>
      <c r="C21" s="10">
        <f>'Jul 2025'!$E$38</f>
        <v>184</v>
      </c>
      <c r="D21" s="10">
        <f>'Jul 2025'!$D$38</f>
        <v>168</v>
      </c>
      <c r="E21" s="10">
        <f>'Jul 2025'!$F$38</f>
        <v>0</v>
      </c>
      <c r="F21" s="11">
        <f t="shared" si="0"/>
        <v>-16</v>
      </c>
      <c r="G21" s="9">
        <f>'Jul 2025'!$B$40</f>
        <v>1</v>
      </c>
      <c r="H21" s="9">
        <f>'Jul 2025'!$B$41</f>
        <v>0</v>
      </c>
    </row>
    <row r="22" spans="1:8" x14ac:dyDescent="0.25">
      <c r="A22" s="8" t="s">
        <v>24</v>
      </c>
      <c r="B22" s="9">
        <f>'Aug 2025'!$B$39</f>
        <v>21</v>
      </c>
      <c r="C22" s="10">
        <f>'Aug 2025'!$E$38</f>
        <v>168</v>
      </c>
      <c r="D22" s="10">
        <f>'Aug 2025'!$D$38</f>
        <v>148</v>
      </c>
      <c r="E22" s="10">
        <f>'Aug 2025'!$F$38</f>
        <v>-4</v>
      </c>
      <c r="F22" s="11">
        <f t="shared" si="0"/>
        <v>-20</v>
      </c>
      <c r="G22" s="9">
        <f>'Aug 2025'!$B$40</f>
        <v>9</v>
      </c>
      <c r="H22" s="9">
        <f>'Aug 2025'!$B$41</f>
        <v>0</v>
      </c>
    </row>
    <row r="23" spans="1:8" x14ac:dyDescent="0.25">
      <c r="A23" s="8" t="s">
        <v>25</v>
      </c>
      <c r="B23" s="9">
        <f>'Sep 2025'!$B$39</f>
        <v>22</v>
      </c>
      <c r="C23" s="10">
        <f>'Sep 2025'!$E$38</f>
        <v>176</v>
      </c>
      <c r="D23" s="10">
        <f>'Sep 2025'!$D$38</f>
        <v>71</v>
      </c>
      <c r="E23" s="10">
        <f>'Sep 2025'!$F$38</f>
        <v>-17</v>
      </c>
      <c r="F23" s="11">
        <f t="shared" si="0"/>
        <v>-37</v>
      </c>
      <c r="G23" s="9">
        <f>'Sep 2025'!$B$40</f>
        <v>0</v>
      </c>
      <c r="H23" s="9">
        <f>'Sep 2025'!$B$41</f>
        <v>0</v>
      </c>
    </row>
    <row r="24" spans="1:8" x14ac:dyDescent="0.25">
      <c r="A24" s="8" t="s">
        <v>26</v>
      </c>
      <c r="B24" s="9">
        <f>'Okt 2025'!$B$39</f>
        <v>23</v>
      </c>
      <c r="C24" s="10">
        <f>'Okt 2025'!$E$38</f>
        <v>184</v>
      </c>
      <c r="D24" s="10">
        <f>'Okt 2025'!$D$38</f>
        <v>66</v>
      </c>
      <c r="E24" s="10">
        <f>'Okt 2025'!$F$38</f>
        <v>-6</v>
      </c>
      <c r="F24" s="11">
        <f t="shared" si="0"/>
        <v>-43</v>
      </c>
      <c r="G24" s="9">
        <f>'Okt 2025'!$B$40</f>
        <v>0</v>
      </c>
      <c r="H24" s="9">
        <f>'Okt 2025'!$B$41</f>
        <v>0</v>
      </c>
    </row>
    <row r="25" spans="1:8" x14ac:dyDescent="0.25">
      <c r="A25" s="8" t="s">
        <v>27</v>
      </c>
      <c r="B25" s="9">
        <f>'Nov 2025'!$B$39</f>
        <v>20</v>
      </c>
      <c r="C25" s="10">
        <f>'Nov 2025'!$E$38</f>
        <v>160</v>
      </c>
      <c r="D25" s="10">
        <f>'Nov 2025'!$D$38</f>
        <v>28</v>
      </c>
      <c r="E25" s="10">
        <f>'Nov 2025'!$F$38</f>
        <v>-4</v>
      </c>
      <c r="F25" s="11">
        <f t="shared" si="0"/>
        <v>-47</v>
      </c>
      <c r="G25" s="9">
        <f>'Nov 2025'!$B$40</f>
        <v>2</v>
      </c>
      <c r="H25" s="9">
        <f>'Nov 2025'!$B$41</f>
        <v>0</v>
      </c>
    </row>
    <row r="26" spans="1:8" x14ac:dyDescent="0.25">
      <c r="A26" s="8" t="s">
        <v>28</v>
      </c>
      <c r="B26" s="9">
        <f>'Dez 2025'!$B$39</f>
        <v>23</v>
      </c>
      <c r="C26" s="10">
        <f>'Dez 2025'!$E$38</f>
        <v>184</v>
      </c>
      <c r="D26" s="10">
        <f>'Dez 2025'!$D$38</f>
        <v>66</v>
      </c>
      <c r="E26" s="10">
        <f>'Dez 2025'!$F$38</f>
        <v>-6</v>
      </c>
      <c r="F26" s="11">
        <f t="shared" si="0"/>
        <v>-53</v>
      </c>
      <c r="G26" s="9">
        <f>'Dez 2025'!$B$40</f>
        <v>6</v>
      </c>
      <c r="H26" s="9">
        <f>'Dez 2025'!$B$41</f>
        <v>0</v>
      </c>
    </row>
    <row r="27" spans="1:8" x14ac:dyDescent="0.25">
      <c r="A27" s="8" t="s">
        <v>29</v>
      </c>
      <c r="B27" s="9">
        <f>'Jan 2026'!$B$39</f>
        <v>22</v>
      </c>
      <c r="C27" s="10">
        <f>'Jan 2026'!$E$38</f>
        <v>176</v>
      </c>
      <c r="D27" s="10">
        <f>'Jan 2026'!$D$38</f>
        <v>84</v>
      </c>
      <c r="E27" s="10">
        <f>'Jan 2026'!$F$38</f>
        <v>-12</v>
      </c>
      <c r="F27" s="11">
        <f t="shared" si="0"/>
        <v>-65</v>
      </c>
      <c r="G27" s="9">
        <f>'Jan 2026'!$B$40</f>
        <v>2</v>
      </c>
      <c r="H27" s="9">
        <f>'Jan 2026'!$B$41</f>
        <v>0</v>
      </c>
    </row>
    <row r="28" spans="1:8" x14ac:dyDescent="0.25">
      <c r="A28" s="8" t="s">
        <v>30</v>
      </c>
      <c r="B28" s="9">
        <f>'Feb 2026'!$B$39</f>
        <v>20</v>
      </c>
      <c r="C28" s="10">
        <f>'Feb 2026'!$E$38</f>
        <v>160</v>
      </c>
      <c r="D28" s="10">
        <f>'Feb 2026'!$D$38</f>
        <v>72</v>
      </c>
      <c r="E28" s="10">
        <f>'Feb 2026'!$F$38</f>
        <v>-24</v>
      </c>
      <c r="F28" s="11">
        <f t="shared" si="0"/>
        <v>-89</v>
      </c>
      <c r="G28" s="9">
        <f>'Feb 2026'!$B$40</f>
        <v>0</v>
      </c>
      <c r="H28" s="9">
        <f>'Feb 2026'!$B$41</f>
        <v>0</v>
      </c>
    </row>
    <row r="29" spans="1:8" x14ac:dyDescent="0.25">
      <c r="A29" s="8" t="s">
        <v>31</v>
      </c>
      <c r="B29" s="9">
        <f>'Mär 2026'!$B$39</f>
        <v>22</v>
      </c>
      <c r="C29" s="10">
        <f>'Mär 2026'!$E$38</f>
        <v>176</v>
      </c>
      <c r="D29" s="10">
        <f>'Mär 2026'!$D$38</f>
        <v>123</v>
      </c>
      <c r="E29" s="10">
        <f>'Mär 2026'!$F$38</f>
        <v>-45</v>
      </c>
      <c r="F29" s="11">
        <f t="shared" si="0"/>
        <v>-134</v>
      </c>
      <c r="G29" s="9">
        <f>'Mär 2026'!$B$40</f>
        <v>6</v>
      </c>
      <c r="H29" s="9">
        <f>'Mär 2026'!$B$41</f>
        <v>0</v>
      </c>
    </row>
    <row r="30" spans="1:8" x14ac:dyDescent="0.25">
      <c r="A30" s="8" t="s">
        <v>32</v>
      </c>
      <c r="B30" s="9">
        <f>'Apr 2026'!$B$39</f>
        <v>22</v>
      </c>
      <c r="C30" s="10">
        <f>'Apr 2026'!$E$38</f>
        <v>176</v>
      </c>
      <c r="D30" s="10">
        <f>'Apr 2026'!$D$38</f>
        <v>138</v>
      </c>
      <c r="E30" s="10">
        <f>'Apr 2026'!$F$38</f>
        <v>-22</v>
      </c>
      <c r="F30" s="11">
        <f t="shared" si="0"/>
        <v>-156</v>
      </c>
      <c r="G30" s="9">
        <f>'Apr 2026'!$B$40</f>
        <v>0</v>
      </c>
      <c r="H30" s="9">
        <f>'Apr 2026'!$B$41</f>
        <v>0</v>
      </c>
    </row>
    <row r="31" spans="1:8" x14ac:dyDescent="0.25">
      <c r="A31" s="8" t="s">
        <v>33</v>
      </c>
      <c r="B31" s="9">
        <f>'Mai 2026'!$B$39</f>
        <v>21</v>
      </c>
      <c r="C31" s="10">
        <f>'Mai 2026'!$E$38</f>
        <v>168</v>
      </c>
      <c r="D31" s="10">
        <f>'Mai 2026'!$D$38</f>
        <v>168</v>
      </c>
      <c r="E31" s="10">
        <f>'Mai 2026'!$F$38</f>
        <v>0</v>
      </c>
      <c r="F31" s="11">
        <f t="shared" si="0"/>
        <v>-156</v>
      </c>
      <c r="G31" s="9">
        <f>'Mai 2026'!$B$40</f>
        <v>15</v>
      </c>
      <c r="H31" s="9">
        <f>'Mai 2026'!$B$41</f>
        <v>0</v>
      </c>
    </row>
    <row r="32" spans="1:8" x14ac:dyDescent="0.25">
      <c r="A32" s="8" t="s">
        <v>34</v>
      </c>
      <c r="B32" s="9">
        <f>'Jun 2026'!$B$39</f>
        <v>22</v>
      </c>
      <c r="C32" s="10">
        <f>'Jun 2026'!$E$38</f>
        <v>176</v>
      </c>
      <c r="D32" s="10">
        <f>'Jun 2026'!$D$38</f>
        <v>176</v>
      </c>
      <c r="E32" s="10">
        <f>'Jun 2026'!$F$38</f>
        <v>0</v>
      </c>
      <c r="F32" s="11">
        <f t="shared" si="0"/>
        <v>-156</v>
      </c>
      <c r="G32" s="9">
        <f>'Jun 2026'!$B$40</f>
        <v>4</v>
      </c>
      <c r="H32" s="9">
        <f>'Jun 2026'!$B$41</f>
        <v>0</v>
      </c>
    </row>
    <row r="33" spans="1:8" x14ac:dyDescent="0.25">
      <c r="A33" s="8" t="s">
        <v>35</v>
      </c>
      <c r="B33" s="9">
        <f>'Jul 2026'!$B$39</f>
        <v>23</v>
      </c>
      <c r="C33" s="10">
        <f>'Jul 2026'!$E$38</f>
        <v>184</v>
      </c>
      <c r="D33" s="10">
        <f>'Jul 2026'!$D$38</f>
        <v>176</v>
      </c>
      <c r="E33" s="10">
        <f>'Jul 2026'!$F$38</f>
        <v>0</v>
      </c>
      <c r="F33" s="11">
        <f t="shared" si="0"/>
        <v>-156</v>
      </c>
      <c r="G33" s="9">
        <f>'Jul 2026'!$B$40</f>
        <v>1</v>
      </c>
      <c r="H33" s="9">
        <f>'Jul 2026'!$B$41</f>
        <v>0</v>
      </c>
    </row>
    <row r="34" spans="1:8" x14ac:dyDescent="0.25">
      <c r="A34" s="8" t="s">
        <v>36</v>
      </c>
      <c r="B34" s="9">
        <f>'Aug 2026'!$B$39</f>
        <v>21</v>
      </c>
      <c r="C34" s="10">
        <f>'Aug 2026'!$E$38</f>
        <v>168</v>
      </c>
      <c r="D34" s="10">
        <f>'Aug 2026'!$D$38</f>
        <v>148</v>
      </c>
      <c r="E34" s="10">
        <f>'Aug 2026'!$F$38</f>
        <v>-4</v>
      </c>
      <c r="F34" s="11">
        <f t="shared" si="0"/>
        <v>-160</v>
      </c>
      <c r="G34" s="9">
        <f>'Aug 2026'!$B$40</f>
        <v>8</v>
      </c>
      <c r="H34" s="9">
        <f>'Aug 2026'!$B$41</f>
        <v>0</v>
      </c>
    </row>
    <row r="35" spans="1:8" x14ac:dyDescent="0.25">
      <c r="A35" s="12" t="s">
        <v>37</v>
      </c>
      <c r="B35" s="12">
        <f>SUM(B16:B34)</f>
        <v>411</v>
      </c>
      <c r="C35" s="13">
        <f>SUM(C16:C34)</f>
        <v>3288</v>
      </c>
      <c r="D35" s="13">
        <f>SUM(D16:D34)</f>
        <v>2464</v>
      </c>
      <c r="E35" s="13">
        <f>SUM(E16:E34)</f>
        <v>-160</v>
      </c>
      <c r="F35" s="13">
        <f>F34</f>
        <v>-160</v>
      </c>
      <c r="G35" s="12">
        <f>SUM(G16:G34)</f>
        <v>56</v>
      </c>
      <c r="H35" s="12">
        <f>SUM(H16:H34)</f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B2" sqref="B2:D2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38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16">
        <v>45689</v>
      </c>
      <c r="B6" s="17" t="s">
        <v>45</v>
      </c>
      <c r="C6" s="18"/>
      <c r="D6" s="19"/>
      <c r="E6" s="20">
        <f>IF(WEEKDAY(A6,2)&lt;=5,Übersicht!$B$4,0)</f>
        <v>0</v>
      </c>
      <c r="F6" s="20" t="str">
        <f t="shared" ref="F6:F33" si="0">IF(OR(C6="U",C6="K",C6="F",C6="G"),IF(D6="",0,D6),IF(D6="","",D6-E6))</f>
        <v/>
      </c>
      <c r="G6" s="21"/>
    </row>
    <row r="7" spans="1:7" x14ac:dyDescent="0.25">
      <c r="A7" s="16">
        <v>45690</v>
      </c>
      <c r="B7" s="17" t="s">
        <v>46</v>
      </c>
      <c r="C7" s="18"/>
      <c r="D7" s="19"/>
      <c r="E7" s="20">
        <f>IF(WEEKDAY(A7,2)&lt;=5,Übersicht!$B$4,0)</f>
        <v>0</v>
      </c>
      <c r="F7" s="20" t="str">
        <f t="shared" si="0"/>
        <v/>
      </c>
      <c r="G7" s="21"/>
    </row>
    <row r="8" spans="1:7" x14ac:dyDescent="0.25">
      <c r="A8" s="22">
        <v>45691</v>
      </c>
      <c r="B8" s="23" t="s">
        <v>47</v>
      </c>
      <c r="C8" s="24" t="s">
        <v>85</v>
      </c>
      <c r="D8" s="25">
        <v>8</v>
      </c>
      <c r="E8" s="11">
        <f>IF(WEEKDAY(A8,2)&lt;=5,Übersicht!$B$4,0)</f>
        <v>8</v>
      </c>
      <c r="F8" s="11">
        <f t="shared" si="0"/>
        <v>0</v>
      </c>
      <c r="G8" s="26"/>
    </row>
    <row r="9" spans="1:7" x14ac:dyDescent="0.25">
      <c r="A9" s="22">
        <v>45692</v>
      </c>
      <c r="B9" s="23" t="s">
        <v>48</v>
      </c>
      <c r="C9" s="24" t="s">
        <v>85</v>
      </c>
      <c r="D9" s="25">
        <v>8</v>
      </c>
      <c r="E9" s="11">
        <f>IF(WEEKDAY(A9,2)&lt;=5,Übersicht!$B$4,0)</f>
        <v>8</v>
      </c>
      <c r="F9" s="11">
        <f t="shared" si="0"/>
        <v>0</v>
      </c>
      <c r="G9" s="26"/>
    </row>
    <row r="10" spans="1:7" x14ac:dyDescent="0.25">
      <c r="A10" s="22">
        <v>45693</v>
      </c>
      <c r="B10" s="23" t="s">
        <v>49</v>
      </c>
      <c r="C10" s="24" t="s">
        <v>85</v>
      </c>
      <c r="D10" s="25">
        <v>8</v>
      </c>
      <c r="E10" s="11">
        <f>IF(WEEKDAY(A10,2)&lt;=5,Übersicht!$B$4,0)</f>
        <v>8</v>
      </c>
      <c r="F10" s="11">
        <f t="shared" si="0"/>
        <v>0</v>
      </c>
      <c r="G10" s="26"/>
    </row>
    <row r="11" spans="1:7" x14ac:dyDescent="0.25">
      <c r="A11" s="22">
        <v>45694</v>
      </c>
      <c r="B11" s="23" t="s">
        <v>50</v>
      </c>
      <c r="C11" s="24" t="s">
        <v>85</v>
      </c>
      <c r="D11" s="25">
        <v>8</v>
      </c>
      <c r="E11" s="11">
        <f>IF(WEEKDAY(A11,2)&lt;=5,Übersicht!$B$4,0)</f>
        <v>8</v>
      </c>
      <c r="F11" s="11">
        <f t="shared" si="0"/>
        <v>0</v>
      </c>
      <c r="G11" s="26"/>
    </row>
    <row r="12" spans="1:7" x14ac:dyDescent="0.25">
      <c r="A12" s="22">
        <v>45695</v>
      </c>
      <c r="B12" s="23" t="s">
        <v>51</v>
      </c>
      <c r="C12" s="24" t="s">
        <v>85</v>
      </c>
      <c r="D12" s="25">
        <v>8</v>
      </c>
      <c r="E12" s="11">
        <f>IF(WEEKDAY(A12,2)&lt;=5,Übersicht!$B$4,0)</f>
        <v>8</v>
      </c>
      <c r="F12" s="11">
        <f t="shared" si="0"/>
        <v>0</v>
      </c>
      <c r="G12" s="26"/>
    </row>
    <row r="13" spans="1:7" x14ac:dyDescent="0.25">
      <c r="A13" s="16">
        <v>45696</v>
      </c>
      <c r="B13" s="17" t="s">
        <v>45</v>
      </c>
      <c r="C13" s="18"/>
      <c r="D13" s="19"/>
      <c r="E13" s="20">
        <f>IF(WEEKDAY(A13,2)&lt;=5,Übersicht!$B$4,0)</f>
        <v>0</v>
      </c>
      <c r="F13" s="20" t="str">
        <f t="shared" si="0"/>
        <v/>
      </c>
      <c r="G13" s="21"/>
    </row>
    <row r="14" spans="1:7" x14ac:dyDescent="0.25">
      <c r="A14" s="16">
        <v>45697</v>
      </c>
      <c r="B14" s="17" t="s">
        <v>46</v>
      </c>
      <c r="C14" s="18"/>
      <c r="D14" s="19"/>
      <c r="E14" s="20">
        <f>IF(WEEKDAY(A14,2)&lt;=5,Übersicht!$B$4,0)</f>
        <v>0</v>
      </c>
      <c r="F14" s="20" t="str">
        <f t="shared" si="0"/>
        <v/>
      </c>
      <c r="G14" s="21"/>
    </row>
    <row r="15" spans="1:7" x14ac:dyDescent="0.25">
      <c r="A15" s="22">
        <v>45698</v>
      </c>
      <c r="B15" s="23" t="s">
        <v>47</v>
      </c>
      <c r="C15" s="24" t="s">
        <v>85</v>
      </c>
      <c r="D15" s="25">
        <v>8</v>
      </c>
      <c r="E15" s="11">
        <f>IF(WEEKDAY(A15,2)&lt;=5,Übersicht!$B$4,0)</f>
        <v>8</v>
      </c>
      <c r="F15" s="11">
        <f t="shared" si="0"/>
        <v>0</v>
      </c>
      <c r="G15" s="26"/>
    </row>
    <row r="16" spans="1:7" x14ac:dyDescent="0.25">
      <c r="A16" s="22">
        <v>45699</v>
      </c>
      <c r="B16" s="23" t="s">
        <v>48</v>
      </c>
      <c r="C16" s="24" t="s">
        <v>85</v>
      </c>
      <c r="D16" s="25">
        <v>8</v>
      </c>
      <c r="E16" s="11">
        <f>IF(WEEKDAY(A16,2)&lt;=5,Übersicht!$B$4,0)</f>
        <v>8</v>
      </c>
      <c r="F16" s="11">
        <f t="shared" si="0"/>
        <v>0</v>
      </c>
      <c r="G16" s="26"/>
    </row>
    <row r="17" spans="1:7" x14ac:dyDescent="0.25">
      <c r="A17" s="22">
        <v>45700</v>
      </c>
      <c r="B17" s="23" t="s">
        <v>49</v>
      </c>
      <c r="C17" s="24" t="s">
        <v>85</v>
      </c>
      <c r="D17" s="25">
        <v>8</v>
      </c>
      <c r="E17" s="11">
        <f>IF(WEEKDAY(A17,2)&lt;=5,Übersicht!$B$4,0)</f>
        <v>8</v>
      </c>
      <c r="F17" s="11">
        <f t="shared" si="0"/>
        <v>0</v>
      </c>
      <c r="G17" s="26"/>
    </row>
    <row r="18" spans="1:7" x14ac:dyDescent="0.25">
      <c r="A18" s="22">
        <v>45701</v>
      </c>
      <c r="B18" s="23" t="s">
        <v>50</v>
      </c>
      <c r="C18" s="24" t="s">
        <v>85</v>
      </c>
      <c r="D18" s="25">
        <v>8</v>
      </c>
      <c r="E18" s="11">
        <f>IF(WEEKDAY(A18,2)&lt;=5,Übersicht!$B$4,0)</f>
        <v>8</v>
      </c>
      <c r="F18" s="11">
        <f t="shared" si="0"/>
        <v>0</v>
      </c>
      <c r="G18" s="26"/>
    </row>
    <row r="19" spans="1:7" x14ac:dyDescent="0.25">
      <c r="A19" s="22">
        <v>45702</v>
      </c>
      <c r="B19" s="23" t="s">
        <v>51</v>
      </c>
      <c r="C19" s="24" t="s">
        <v>85</v>
      </c>
      <c r="D19" s="25">
        <v>8</v>
      </c>
      <c r="E19" s="11">
        <f>IF(WEEKDAY(A19,2)&lt;=5,Übersicht!$B$4,0)</f>
        <v>8</v>
      </c>
      <c r="F19" s="11">
        <f t="shared" si="0"/>
        <v>0</v>
      </c>
      <c r="G19" s="26"/>
    </row>
    <row r="20" spans="1:7" x14ac:dyDescent="0.25">
      <c r="A20" s="16">
        <v>45703</v>
      </c>
      <c r="B20" s="17" t="s">
        <v>45</v>
      </c>
      <c r="C20" s="18"/>
      <c r="D20" s="19"/>
      <c r="E20" s="20">
        <f>IF(WEEKDAY(A20,2)&lt;=5,Übersicht!$B$4,0)</f>
        <v>0</v>
      </c>
      <c r="F20" s="20" t="str">
        <f t="shared" si="0"/>
        <v/>
      </c>
      <c r="G20" s="21"/>
    </row>
    <row r="21" spans="1:7" x14ac:dyDescent="0.25">
      <c r="A21" s="16">
        <v>45704</v>
      </c>
      <c r="B21" s="17" t="s">
        <v>46</v>
      </c>
      <c r="C21" s="18"/>
      <c r="D21" s="19"/>
      <c r="E21" s="20">
        <f>IF(WEEKDAY(A21,2)&lt;=5,Übersicht!$B$4,0)</f>
        <v>0</v>
      </c>
      <c r="F21" s="20" t="str">
        <f t="shared" si="0"/>
        <v/>
      </c>
      <c r="G21" s="21"/>
    </row>
    <row r="22" spans="1:7" x14ac:dyDescent="0.25">
      <c r="A22" s="22">
        <v>45705</v>
      </c>
      <c r="B22" s="23" t="s">
        <v>47</v>
      </c>
      <c r="C22" s="24" t="s">
        <v>85</v>
      </c>
      <c r="D22" s="25">
        <v>8</v>
      </c>
      <c r="E22" s="11">
        <f>IF(WEEKDAY(A22,2)&lt;=5,Übersicht!$B$4,0)</f>
        <v>8</v>
      </c>
      <c r="F22" s="11">
        <f t="shared" si="0"/>
        <v>0</v>
      </c>
      <c r="G22" s="26"/>
    </row>
    <row r="23" spans="1:7" x14ac:dyDescent="0.25">
      <c r="A23" s="22">
        <v>45706</v>
      </c>
      <c r="B23" s="23" t="s">
        <v>48</v>
      </c>
      <c r="C23" s="24" t="s">
        <v>85</v>
      </c>
      <c r="D23" s="25">
        <v>8</v>
      </c>
      <c r="E23" s="11">
        <f>IF(WEEKDAY(A23,2)&lt;=5,Übersicht!$B$4,0)</f>
        <v>8</v>
      </c>
      <c r="F23" s="11">
        <f t="shared" si="0"/>
        <v>0</v>
      </c>
      <c r="G23" s="26"/>
    </row>
    <row r="24" spans="1:7" x14ac:dyDescent="0.25">
      <c r="A24" s="22">
        <v>45707</v>
      </c>
      <c r="B24" s="23" t="s">
        <v>49</v>
      </c>
      <c r="C24" s="24" t="s">
        <v>85</v>
      </c>
      <c r="D24" s="25">
        <v>8</v>
      </c>
      <c r="E24" s="11">
        <f>IF(WEEKDAY(A24,2)&lt;=5,Übersicht!$B$4,0)</f>
        <v>8</v>
      </c>
      <c r="F24" s="11">
        <f t="shared" si="0"/>
        <v>0</v>
      </c>
      <c r="G24" s="26"/>
    </row>
    <row r="25" spans="1:7" x14ac:dyDescent="0.25">
      <c r="A25" s="22">
        <v>45708</v>
      </c>
      <c r="B25" s="23" t="s">
        <v>50</v>
      </c>
      <c r="C25" s="24" t="s">
        <v>85</v>
      </c>
      <c r="D25" s="25">
        <v>8</v>
      </c>
      <c r="E25" s="11">
        <f>IF(WEEKDAY(A25,2)&lt;=5,Übersicht!$B$4,0)</f>
        <v>8</v>
      </c>
      <c r="F25" s="11">
        <f t="shared" si="0"/>
        <v>0</v>
      </c>
      <c r="G25" s="26"/>
    </row>
    <row r="26" spans="1:7" x14ac:dyDescent="0.25">
      <c r="A26" s="22">
        <v>45709</v>
      </c>
      <c r="B26" s="23" t="s">
        <v>51</v>
      </c>
      <c r="C26" s="24" t="s">
        <v>85</v>
      </c>
      <c r="D26" s="25">
        <v>8</v>
      </c>
      <c r="E26" s="11">
        <f>IF(WEEKDAY(A26,2)&lt;=5,Übersicht!$B$4,0)</f>
        <v>8</v>
      </c>
      <c r="F26" s="11">
        <f t="shared" si="0"/>
        <v>0</v>
      </c>
      <c r="G26" s="26"/>
    </row>
    <row r="27" spans="1:7" x14ac:dyDescent="0.25">
      <c r="A27" s="16">
        <v>45710</v>
      </c>
      <c r="B27" s="17" t="s">
        <v>45</v>
      </c>
      <c r="C27" s="18"/>
      <c r="D27" s="19"/>
      <c r="E27" s="20">
        <f>IF(WEEKDAY(A27,2)&lt;=5,Übersicht!$B$4,0)</f>
        <v>0</v>
      </c>
      <c r="F27" s="20" t="str">
        <f t="shared" si="0"/>
        <v/>
      </c>
      <c r="G27" s="21"/>
    </row>
    <row r="28" spans="1:7" x14ac:dyDescent="0.25">
      <c r="A28" s="16">
        <v>45711</v>
      </c>
      <c r="B28" s="17" t="s">
        <v>46</v>
      </c>
      <c r="C28" s="18"/>
      <c r="D28" s="19"/>
      <c r="E28" s="20">
        <f>IF(WEEKDAY(A28,2)&lt;=5,Übersicht!$B$4,0)</f>
        <v>0</v>
      </c>
      <c r="F28" s="20" t="str">
        <f t="shared" si="0"/>
        <v/>
      </c>
      <c r="G28" s="21"/>
    </row>
    <row r="29" spans="1:7" x14ac:dyDescent="0.25">
      <c r="A29" s="22">
        <v>45712</v>
      </c>
      <c r="B29" s="23" t="s">
        <v>47</v>
      </c>
      <c r="C29" s="24" t="s">
        <v>85</v>
      </c>
      <c r="D29" s="25">
        <v>8</v>
      </c>
      <c r="E29" s="11">
        <f>IF(WEEKDAY(A29,2)&lt;=5,Übersicht!$B$4,0)</f>
        <v>8</v>
      </c>
      <c r="F29" s="11">
        <f t="shared" si="0"/>
        <v>0</v>
      </c>
      <c r="G29" s="26"/>
    </row>
    <row r="30" spans="1:7" x14ac:dyDescent="0.25">
      <c r="A30" s="22">
        <v>45713</v>
      </c>
      <c r="B30" s="23" t="s">
        <v>48</v>
      </c>
      <c r="C30" s="24" t="s">
        <v>85</v>
      </c>
      <c r="D30" s="25">
        <v>8</v>
      </c>
      <c r="E30" s="11">
        <f>IF(WEEKDAY(A30,2)&lt;=5,Übersicht!$B$4,0)</f>
        <v>8</v>
      </c>
      <c r="F30" s="11">
        <f t="shared" si="0"/>
        <v>0</v>
      </c>
      <c r="G30" s="26"/>
    </row>
    <row r="31" spans="1:7" x14ac:dyDescent="0.25">
      <c r="A31" s="22">
        <v>45714</v>
      </c>
      <c r="B31" s="23" t="s">
        <v>49</v>
      </c>
      <c r="C31" s="24" t="s">
        <v>85</v>
      </c>
      <c r="D31" s="25">
        <v>8</v>
      </c>
      <c r="E31" s="11">
        <f>IF(WEEKDAY(A31,2)&lt;=5,Übersicht!$B$4,0)</f>
        <v>8</v>
      </c>
      <c r="F31" s="11">
        <f t="shared" si="0"/>
        <v>0</v>
      </c>
      <c r="G31" s="26"/>
    </row>
    <row r="32" spans="1:7" x14ac:dyDescent="0.25">
      <c r="A32" s="22">
        <v>45715</v>
      </c>
      <c r="B32" s="23" t="s">
        <v>50</v>
      </c>
      <c r="C32" s="24" t="s">
        <v>85</v>
      </c>
      <c r="D32" s="25">
        <v>8</v>
      </c>
      <c r="E32" s="11">
        <f>IF(WEEKDAY(A32,2)&lt;=5,Übersicht!$B$4,0)</f>
        <v>8</v>
      </c>
      <c r="F32" s="11">
        <f t="shared" si="0"/>
        <v>0</v>
      </c>
      <c r="G32" s="26"/>
    </row>
    <row r="33" spans="1:7" x14ac:dyDescent="0.25">
      <c r="A33" s="22">
        <v>45716</v>
      </c>
      <c r="B33" s="23" t="s">
        <v>51</v>
      </c>
      <c r="C33" s="24" t="s">
        <v>85</v>
      </c>
      <c r="D33" s="25">
        <v>8</v>
      </c>
      <c r="E33" s="11">
        <f>IF(WEEKDAY(A33,2)&lt;=5,Übersicht!$B$4,0)</f>
        <v>8</v>
      </c>
      <c r="F33" s="11">
        <f t="shared" si="0"/>
        <v>0</v>
      </c>
      <c r="G33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160</v>
      </c>
      <c r="E38" s="13">
        <f>SUM(E6:E36)</f>
        <v>160</v>
      </c>
      <c r="F38" s="13">
        <f>SUM(F6:F36)</f>
        <v>0</v>
      </c>
      <c r="G38" s="27"/>
    </row>
    <row r="39" spans="1:7" x14ac:dyDescent="0.25">
      <c r="A39" s="6" t="s">
        <v>11</v>
      </c>
      <c r="B39" s="28">
        <f>COUNTIF(E6:E36,"&gt;0")</f>
        <v>20</v>
      </c>
    </row>
    <row r="40" spans="1:7" x14ac:dyDescent="0.25">
      <c r="A40" s="6" t="s">
        <v>16</v>
      </c>
      <c r="B40" s="28">
        <f>COUNTIF(C6:C36,"U")</f>
        <v>0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Übersicht!F16</f>
        <v>0</v>
      </c>
    </row>
  </sheetData>
  <mergeCells count="1">
    <mergeCell ref="B2:D2"/>
  </mergeCells>
  <dataValidations count="1">
    <dataValidation type="list" allowBlank="1" sqref="C6:C33" xr:uid="{00000000-0002-0000-01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E16" sqref="E16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54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16">
        <v>45717</v>
      </c>
      <c r="B6" s="17" t="s">
        <v>45</v>
      </c>
      <c r="C6" s="18"/>
      <c r="D6" s="19"/>
      <c r="E6" s="20">
        <f>IF(WEEKDAY(A6,2)&lt;=5,Übersicht!$B$4,0)</f>
        <v>0</v>
      </c>
      <c r="F6" s="20" t="str">
        <f t="shared" ref="F6:F36" si="0">IF(OR(C6="U",C6="K",C6="F",C6="G"),IF(D6="",0,D6),IF(D6="","",D6-E6))</f>
        <v/>
      </c>
      <c r="G6" s="21"/>
    </row>
    <row r="7" spans="1:7" x14ac:dyDescent="0.25">
      <c r="A7" s="16">
        <v>45718</v>
      </c>
      <c r="B7" s="17" t="s">
        <v>46</v>
      </c>
      <c r="C7" s="18"/>
      <c r="D7" s="19"/>
      <c r="E7" s="20">
        <f>IF(WEEKDAY(A7,2)&lt;=5,Übersicht!$B$4,0)</f>
        <v>0</v>
      </c>
      <c r="F7" s="20" t="str">
        <f t="shared" si="0"/>
        <v/>
      </c>
      <c r="G7" s="21"/>
    </row>
    <row r="8" spans="1:7" x14ac:dyDescent="0.25">
      <c r="A8" s="22">
        <v>45719</v>
      </c>
      <c r="B8" s="23" t="s">
        <v>47</v>
      </c>
      <c r="C8" s="24" t="s">
        <v>85</v>
      </c>
      <c r="D8" s="25">
        <v>8</v>
      </c>
      <c r="E8" s="11">
        <f>IF(WEEKDAY(A8,2)&lt;=5,Übersicht!$B$4,0)</f>
        <v>8</v>
      </c>
      <c r="F8" s="11">
        <f t="shared" si="0"/>
        <v>0</v>
      </c>
      <c r="G8" s="26"/>
    </row>
    <row r="9" spans="1:7" x14ac:dyDescent="0.25">
      <c r="A9" s="22">
        <v>45720</v>
      </c>
      <c r="B9" s="23" t="s">
        <v>48</v>
      </c>
      <c r="C9" s="24" t="s">
        <v>85</v>
      </c>
      <c r="D9" s="25">
        <v>8</v>
      </c>
      <c r="E9" s="11">
        <f>IF(WEEKDAY(A9,2)&lt;=5,Übersicht!$B$4,0)</f>
        <v>8</v>
      </c>
      <c r="F9" s="11">
        <f t="shared" si="0"/>
        <v>0</v>
      </c>
      <c r="G9" s="26"/>
    </row>
    <row r="10" spans="1:7" x14ac:dyDescent="0.25">
      <c r="A10" s="22">
        <v>45721</v>
      </c>
      <c r="B10" s="23" t="s">
        <v>49</v>
      </c>
      <c r="C10" s="24" t="s">
        <v>85</v>
      </c>
      <c r="D10" s="25">
        <v>8</v>
      </c>
      <c r="E10" s="11">
        <f>IF(WEEKDAY(A10,2)&lt;=5,Übersicht!$B$4,0)</f>
        <v>8</v>
      </c>
      <c r="F10" s="11">
        <f t="shared" si="0"/>
        <v>0</v>
      </c>
      <c r="G10" s="26"/>
    </row>
    <row r="11" spans="1:7" x14ac:dyDescent="0.25">
      <c r="A11" s="22">
        <v>45722</v>
      </c>
      <c r="B11" s="23" t="s">
        <v>50</v>
      </c>
      <c r="C11" s="24" t="s">
        <v>85</v>
      </c>
      <c r="D11" s="25">
        <v>8</v>
      </c>
      <c r="E11" s="11">
        <f>IF(WEEKDAY(A11,2)&lt;=5,Übersicht!$B$4,0)</f>
        <v>8</v>
      </c>
      <c r="F11" s="11">
        <f t="shared" si="0"/>
        <v>0</v>
      </c>
      <c r="G11" s="26"/>
    </row>
    <row r="12" spans="1:7" x14ac:dyDescent="0.25">
      <c r="A12" s="22">
        <v>45723</v>
      </c>
      <c r="B12" s="23" t="s">
        <v>51</v>
      </c>
      <c r="C12" s="24" t="s">
        <v>85</v>
      </c>
      <c r="D12" s="25">
        <v>8</v>
      </c>
      <c r="E12" s="11">
        <f>IF(WEEKDAY(A12,2)&lt;=5,Übersicht!$B$4,0)</f>
        <v>8</v>
      </c>
      <c r="F12" s="11">
        <f t="shared" si="0"/>
        <v>0</v>
      </c>
      <c r="G12" s="26"/>
    </row>
    <row r="13" spans="1:7" x14ac:dyDescent="0.25">
      <c r="A13" s="16">
        <v>45724</v>
      </c>
      <c r="B13" s="17" t="s">
        <v>45</v>
      </c>
      <c r="C13" s="18"/>
      <c r="D13" s="19"/>
      <c r="E13" s="20">
        <f>IF(WEEKDAY(A13,2)&lt;=5,Übersicht!$B$4,0)</f>
        <v>0</v>
      </c>
      <c r="F13" s="20" t="str">
        <f t="shared" si="0"/>
        <v/>
      </c>
      <c r="G13" s="21"/>
    </row>
    <row r="14" spans="1:7" x14ac:dyDescent="0.25">
      <c r="A14" s="16">
        <v>45725</v>
      </c>
      <c r="B14" s="17" t="s">
        <v>46</v>
      </c>
      <c r="C14" s="18"/>
      <c r="D14" s="19"/>
      <c r="E14" s="20">
        <f>IF(WEEKDAY(A14,2)&lt;=5,Übersicht!$B$4,0)</f>
        <v>0</v>
      </c>
      <c r="F14" s="20" t="str">
        <f t="shared" si="0"/>
        <v/>
      </c>
      <c r="G14" s="21"/>
    </row>
    <row r="15" spans="1:7" x14ac:dyDescent="0.25">
      <c r="A15" s="22">
        <v>45726</v>
      </c>
      <c r="B15" s="23" t="s">
        <v>47</v>
      </c>
      <c r="C15" s="24" t="s">
        <v>85</v>
      </c>
      <c r="D15" s="25">
        <v>8</v>
      </c>
      <c r="E15" s="11">
        <f>IF(WEEKDAY(A15,2)&lt;=5,Übersicht!$B$4,0)</f>
        <v>8</v>
      </c>
      <c r="F15" s="11">
        <f t="shared" si="0"/>
        <v>0</v>
      </c>
      <c r="G15" s="26"/>
    </row>
    <row r="16" spans="1:7" x14ac:dyDescent="0.25">
      <c r="A16" s="22">
        <v>45727</v>
      </c>
      <c r="B16" s="23" t="s">
        <v>48</v>
      </c>
      <c r="C16" s="24" t="s">
        <v>85</v>
      </c>
      <c r="D16" s="25">
        <v>8</v>
      </c>
      <c r="E16" s="11">
        <f>IF(WEEKDAY(A16,2)&lt;=5,Übersicht!$B$4,0)</f>
        <v>8</v>
      </c>
      <c r="F16" s="11">
        <f t="shared" si="0"/>
        <v>0</v>
      </c>
      <c r="G16" s="26"/>
    </row>
    <row r="17" spans="1:7" x14ac:dyDescent="0.25">
      <c r="A17" s="22">
        <v>45728</v>
      </c>
      <c r="B17" s="23" t="s">
        <v>49</v>
      </c>
      <c r="C17" s="24" t="s">
        <v>85</v>
      </c>
      <c r="D17" s="25">
        <v>8</v>
      </c>
      <c r="E17" s="11">
        <f>IF(WEEKDAY(A17,2)&lt;=5,Übersicht!$B$4,0)</f>
        <v>8</v>
      </c>
      <c r="F17" s="11">
        <f t="shared" si="0"/>
        <v>0</v>
      </c>
      <c r="G17" s="26"/>
    </row>
    <row r="18" spans="1:7" x14ac:dyDescent="0.25">
      <c r="A18" s="22">
        <v>45729</v>
      </c>
      <c r="B18" s="23" t="s">
        <v>50</v>
      </c>
      <c r="C18" s="24" t="s">
        <v>85</v>
      </c>
      <c r="D18" s="25">
        <v>8</v>
      </c>
      <c r="E18" s="11">
        <f>IF(WEEKDAY(A18,2)&lt;=5,Übersicht!$B$4,0)</f>
        <v>8</v>
      </c>
      <c r="F18" s="11">
        <f t="shared" si="0"/>
        <v>0</v>
      </c>
      <c r="G18" s="26"/>
    </row>
    <row r="19" spans="1:7" x14ac:dyDescent="0.25">
      <c r="A19" s="22">
        <v>45730</v>
      </c>
      <c r="B19" s="23" t="s">
        <v>51</v>
      </c>
      <c r="C19" s="24" t="s">
        <v>85</v>
      </c>
      <c r="D19" s="25">
        <v>8</v>
      </c>
      <c r="E19" s="11">
        <f>IF(WEEKDAY(A19,2)&lt;=5,Übersicht!$B$4,0)</f>
        <v>8</v>
      </c>
      <c r="F19" s="11">
        <f t="shared" si="0"/>
        <v>0</v>
      </c>
      <c r="G19" s="26"/>
    </row>
    <row r="20" spans="1:7" x14ac:dyDescent="0.25">
      <c r="A20" s="16">
        <v>45731</v>
      </c>
      <c r="B20" s="17" t="s">
        <v>45</v>
      </c>
      <c r="C20" s="18"/>
      <c r="D20" s="19"/>
      <c r="E20" s="20">
        <f>IF(WEEKDAY(A20,2)&lt;=5,Übersicht!$B$4,0)</f>
        <v>0</v>
      </c>
      <c r="F20" s="20" t="str">
        <f t="shared" si="0"/>
        <v/>
      </c>
      <c r="G20" s="21"/>
    </row>
    <row r="21" spans="1:7" x14ac:dyDescent="0.25">
      <c r="A21" s="16">
        <v>45732</v>
      </c>
      <c r="B21" s="17" t="s">
        <v>46</v>
      </c>
      <c r="C21" s="18"/>
      <c r="D21" s="19"/>
      <c r="E21" s="20">
        <f>IF(WEEKDAY(A21,2)&lt;=5,Übersicht!$B$4,0)</f>
        <v>0</v>
      </c>
      <c r="F21" s="20" t="str">
        <f t="shared" si="0"/>
        <v/>
      </c>
      <c r="G21" s="21"/>
    </row>
    <row r="22" spans="1:7" x14ac:dyDescent="0.25">
      <c r="A22" s="22">
        <v>45733</v>
      </c>
      <c r="B22" s="23" t="s">
        <v>47</v>
      </c>
      <c r="C22" s="24" t="s">
        <v>85</v>
      </c>
      <c r="D22" s="25">
        <v>8</v>
      </c>
      <c r="E22" s="11">
        <f>IF(WEEKDAY(A22,2)&lt;=5,Übersicht!$B$4,0)</f>
        <v>8</v>
      </c>
      <c r="F22" s="11">
        <f t="shared" si="0"/>
        <v>0</v>
      </c>
      <c r="G22" s="26"/>
    </row>
    <row r="23" spans="1:7" x14ac:dyDescent="0.25">
      <c r="A23" s="22">
        <v>45734</v>
      </c>
      <c r="B23" s="23" t="s">
        <v>48</v>
      </c>
      <c r="C23" s="24" t="s">
        <v>85</v>
      </c>
      <c r="D23" s="25">
        <v>8</v>
      </c>
      <c r="E23" s="11">
        <f>IF(WEEKDAY(A23,2)&lt;=5,Übersicht!$B$4,0)</f>
        <v>8</v>
      </c>
      <c r="F23" s="11">
        <f t="shared" si="0"/>
        <v>0</v>
      </c>
      <c r="G23" s="26"/>
    </row>
    <row r="24" spans="1:7" x14ac:dyDescent="0.25">
      <c r="A24" s="22">
        <v>45735</v>
      </c>
      <c r="B24" s="23" t="s">
        <v>49</v>
      </c>
      <c r="C24" s="24" t="s">
        <v>85</v>
      </c>
      <c r="D24" s="25">
        <v>8</v>
      </c>
      <c r="E24" s="11">
        <f>IF(WEEKDAY(A24,2)&lt;=5,Übersicht!$B$4,0)</f>
        <v>8</v>
      </c>
      <c r="F24" s="11">
        <f t="shared" si="0"/>
        <v>0</v>
      </c>
      <c r="G24" s="26"/>
    </row>
    <row r="25" spans="1:7" x14ac:dyDescent="0.25">
      <c r="A25" s="22">
        <v>45736</v>
      </c>
      <c r="B25" s="23" t="s">
        <v>50</v>
      </c>
      <c r="C25" s="24" t="s">
        <v>85</v>
      </c>
      <c r="D25" s="25">
        <v>8</v>
      </c>
      <c r="E25" s="11">
        <f>IF(WEEKDAY(A25,2)&lt;=5,Übersicht!$B$4,0)</f>
        <v>8</v>
      </c>
      <c r="F25" s="11">
        <f t="shared" si="0"/>
        <v>0</v>
      </c>
      <c r="G25" s="26"/>
    </row>
    <row r="26" spans="1:7" x14ac:dyDescent="0.25">
      <c r="A26" s="22">
        <v>45737</v>
      </c>
      <c r="B26" s="23" t="s">
        <v>51</v>
      </c>
      <c r="C26" s="24" t="s">
        <v>85</v>
      </c>
      <c r="D26" s="25">
        <v>8</v>
      </c>
      <c r="E26" s="11">
        <f>IF(WEEKDAY(A26,2)&lt;=5,Übersicht!$B$4,0)</f>
        <v>8</v>
      </c>
      <c r="F26" s="11">
        <f t="shared" si="0"/>
        <v>0</v>
      </c>
      <c r="G26" s="26"/>
    </row>
    <row r="27" spans="1:7" x14ac:dyDescent="0.25">
      <c r="A27" s="16">
        <v>45738</v>
      </c>
      <c r="B27" s="17" t="s">
        <v>45</v>
      </c>
      <c r="C27" s="18"/>
      <c r="D27" s="19"/>
      <c r="E27" s="20">
        <f>IF(WEEKDAY(A27,2)&lt;=5,Übersicht!$B$4,0)</f>
        <v>0</v>
      </c>
      <c r="F27" s="20" t="str">
        <f t="shared" si="0"/>
        <v/>
      </c>
      <c r="G27" s="21"/>
    </row>
    <row r="28" spans="1:7" x14ac:dyDescent="0.25">
      <c r="A28" s="16">
        <v>45739</v>
      </c>
      <c r="B28" s="17" t="s">
        <v>46</v>
      </c>
      <c r="C28" s="18"/>
      <c r="D28" s="19"/>
      <c r="E28" s="20">
        <f>IF(WEEKDAY(A28,2)&lt;=5,Übersicht!$B$4,0)</f>
        <v>0</v>
      </c>
      <c r="F28" s="20" t="str">
        <f t="shared" si="0"/>
        <v/>
      </c>
      <c r="G28" s="21"/>
    </row>
    <row r="29" spans="1:7" x14ac:dyDescent="0.25">
      <c r="A29" s="22">
        <v>45740</v>
      </c>
      <c r="B29" s="23" t="s">
        <v>47</v>
      </c>
      <c r="C29" s="24" t="s">
        <v>85</v>
      </c>
      <c r="D29" s="25">
        <v>8</v>
      </c>
      <c r="E29" s="11">
        <f>IF(WEEKDAY(A29,2)&lt;=5,Übersicht!$B$4,0)</f>
        <v>8</v>
      </c>
      <c r="F29" s="11">
        <f t="shared" si="0"/>
        <v>0</v>
      </c>
      <c r="G29" s="26"/>
    </row>
    <row r="30" spans="1:7" x14ac:dyDescent="0.25">
      <c r="A30" s="22">
        <v>45741</v>
      </c>
      <c r="B30" s="23" t="s">
        <v>48</v>
      </c>
      <c r="C30" s="24" t="s">
        <v>85</v>
      </c>
      <c r="D30" s="25">
        <v>8</v>
      </c>
      <c r="E30" s="11">
        <f>IF(WEEKDAY(A30,2)&lt;=5,Übersicht!$B$4,0)</f>
        <v>8</v>
      </c>
      <c r="F30" s="11">
        <f t="shared" si="0"/>
        <v>0</v>
      </c>
      <c r="G30" s="26"/>
    </row>
    <row r="31" spans="1:7" x14ac:dyDescent="0.25">
      <c r="A31" s="22">
        <v>45742</v>
      </c>
      <c r="B31" s="23" t="s">
        <v>49</v>
      </c>
      <c r="C31" s="24" t="s">
        <v>85</v>
      </c>
      <c r="D31" s="25">
        <v>8</v>
      </c>
      <c r="E31" s="11">
        <f>IF(WEEKDAY(A31,2)&lt;=5,Übersicht!$B$4,0)</f>
        <v>8</v>
      </c>
      <c r="F31" s="11">
        <f t="shared" si="0"/>
        <v>0</v>
      </c>
      <c r="G31" s="26"/>
    </row>
    <row r="32" spans="1:7" x14ac:dyDescent="0.25">
      <c r="A32" s="22">
        <v>45743</v>
      </c>
      <c r="B32" s="23" t="s">
        <v>50</v>
      </c>
      <c r="C32" s="24" t="s">
        <v>85</v>
      </c>
      <c r="D32" s="25">
        <v>8</v>
      </c>
      <c r="E32" s="11">
        <f>IF(WEEKDAY(A32,2)&lt;=5,Übersicht!$B$4,0)</f>
        <v>8</v>
      </c>
      <c r="F32" s="11">
        <f t="shared" si="0"/>
        <v>0</v>
      </c>
      <c r="G32" s="26"/>
    </row>
    <row r="33" spans="1:7" x14ac:dyDescent="0.25">
      <c r="A33" s="22">
        <v>45744</v>
      </c>
      <c r="B33" s="23" t="s">
        <v>51</v>
      </c>
      <c r="C33" s="24" t="s">
        <v>85</v>
      </c>
      <c r="D33" s="25">
        <v>8</v>
      </c>
      <c r="E33" s="11">
        <f>IF(WEEKDAY(A33,2)&lt;=5,Übersicht!$B$4,0)</f>
        <v>8</v>
      </c>
      <c r="F33" s="11">
        <f t="shared" si="0"/>
        <v>0</v>
      </c>
      <c r="G33" s="26"/>
    </row>
    <row r="34" spans="1:7" x14ac:dyDescent="0.25">
      <c r="A34" s="16">
        <v>45745</v>
      </c>
      <c r="B34" s="17" t="s">
        <v>45</v>
      </c>
      <c r="C34" s="18"/>
      <c r="D34" s="19"/>
      <c r="E34" s="20">
        <f>IF(WEEKDAY(A34,2)&lt;=5,Übersicht!$B$4,0)</f>
        <v>0</v>
      </c>
      <c r="F34" s="20" t="str">
        <f t="shared" si="0"/>
        <v/>
      </c>
      <c r="G34" s="21"/>
    </row>
    <row r="35" spans="1:7" x14ac:dyDescent="0.25">
      <c r="A35" s="16">
        <v>45746</v>
      </c>
      <c r="B35" s="17" t="s">
        <v>46</v>
      </c>
      <c r="C35" s="18"/>
      <c r="D35" s="19"/>
      <c r="E35" s="20">
        <f>IF(WEEKDAY(A35,2)&lt;=5,Übersicht!$B$4,0)</f>
        <v>0</v>
      </c>
      <c r="F35" s="20" t="str">
        <f t="shared" si="0"/>
        <v/>
      </c>
      <c r="G35" s="21"/>
    </row>
    <row r="36" spans="1:7" x14ac:dyDescent="0.25">
      <c r="A36" s="22">
        <v>45747</v>
      </c>
      <c r="B36" s="23" t="s">
        <v>47</v>
      </c>
      <c r="C36" s="24" t="s">
        <v>85</v>
      </c>
      <c r="D36" s="25">
        <v>8</v>
      </c>
      <c r="E36" s="11">
        <f>IF(WEEKDAY(A36,2)&lt;=5,Übersicht!$B$4,0)</f>
        <v>8</v>
      </c>
      <c r="F36" s="11">
        <f t="shared" si="0"/>
        <v>0</v>
      </c>
      <c r="G36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168</v>
      </c>
      <c r="E38" s="13">
        <f>SUM(E6:E36)</f>
        <v>168</v>
      </c>
      <c r="F38" s="13">
        <f>SUM(F6:F36)</f>
        <v>0</v>
      </c>
      <c r="G38" s="27"/>
    </row>
    <row r="39" spans="1:7" x14ac:dyDescent="0.25">
      <c r="A39" s="6" t="s">
        <v>11</v>
      </c>
      <c r="B39" s="28">
        <f>COUNTIF(E6:E36,"&gt;0")</f>
        <v>21</v>
      </c>
    </row>
    <row r="40" spans="1:7" x14ac:dyDescent="0.25">
      <c r="A40" s="6" t="s">
        <v>16</v>
      </c>
      <c r="B40" s="28">
        <f>COUNTIF(C6:C36,"U")</f>
        <v>0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Übersicht!F17</f>
        <v>0</v>
      </c>
    </row>
  </sheetData>
  <mergeCells count="1">
    <mergeCell ref="B2:D2"/>
  </mergeCells>
  <dataValidations count="1">
    <dataValidation type="list" allowBlank="1" sqref="C6:C36" xr:uid="{00000000-0002-0000-02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C29" sqref="C29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55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22">
        <v>45748</v>
      </c>
      <c r="B6" s="23" t="s">
        <v>48</v>
      </c>
      <c r="C6" s="24" t="s">
        <v>85</v>
      </c>
      <c r="D6" s="25">
        <v>8</v>
      </c>
      <c r="E6" s="11">
        <f>IF(WEEKDAY(A6,2)&lt;=5,Übersicht!$B$4,0)</f>
        <v>8</v>
      </c>
      <c r="F6" s="11">
        <f t="shared" ref="F6:F35" si="0">IF(OR(C6="U",C6="K",C6="F",C6="G"),IF(D6="",0,D6),IF(D6="","",D6-E6))</f>
        <v>0</v>
      </c>
      <c r="G6" s="26"/>
    </row>
    <row r="7" spans="1:7" x14ac:dyDescent="0.25">
      <c r="A7" s="22">
        <v>45749</v>
      </c>
      <c r="B7" s="23" t="s">
        <v>49</v>
      </c>
      <c r="C7" s="24" t="s">
        <v>85</v>
      </c>
      <c r="D7" s="25">
        <v>8</v>
      </c>
      <c r="E7" s="11">
        <f>IF(WEEKDAY(A7,2)&lt;=5,Übersicht!$B$4,0)</f>
        <v>8</v>
      </c>
      <c r="F7" s="11">
        <f t="shared" si="0"/>
        <v>0</v>
      </c>
      <c r="G7" s="26"/>
    </row>
    <row r="8" spans="1:7" x14ac:dyDescent="0.25">
      <c r="A8" s="22">
        <v>45750</v>
      </c>
      <c r="B8" s="23" t="s">
        <v>50</v>
      </c>
      <c r="C8" s="24" t="s">
        <v>85</v>
      </c>
      <c r="D8" s="25">
        <v>8</v>
      </c>
      <c r="E8" s="11">
        <f>IF(WEEKDAY(A8,2)&lt;=5,Übersicht!$B$4,0)</f>
        <v>8</v>
      </c>
      <c r="F8" s="11">
        <f t="shared" si="0"/>
        <v>0</v>
      </c>
      <c r="G8" s="26"/>
    </row>
    <row r="9" spans="1:7" x14ac:dyDescent="0.25">
      <c r="A9" s="22">
        <v>45751</v>
      </c>
      <c r="B9" s="23" t="s">
        <v>51</v>
      </c>
      <c r="C9" s="24" t="s">
        <v>85</v>
      </c>
      <c r="D9" s="25">
        <v>8</v>
      </c>
      <c r="E9" s="11">
        <f>IF(WEEKDAY(A9,2)&lt;=5,Übersicht!$B$4,0)</f>
        <v>8</v>
      </c>
      <c r="F9" s="11">
        <f t="shared" si="0"/>
        <v>0</v>
      </c>
      <c r="G9" s="26"/>
    </row>
    <row r="10" spans="1:7" x14ac:dyDescent="0.25">
      <c r="A10" s="16">
        <v>45752</v>
      </c>
      <c r="B10" s="17" t="s">
        <v>45</v>
      </c>
      <c r="C10" s="18"/>
      <c r="D10" s="19"/>
      <c r="E10" s="20">
        <f>IF(WEEKDAY(A10,2)&lt;=5,Übersicht!$B$4,0)</f>
        <v>0</v>
      </c>
      <c r="F10" s="20" t="str">
        <f t="shared" si="0"/>
        <v/>
      </c>
      <c r="G10" s="21"/>
    </row>
    <row r="11" spans="1:7" x14ac:dyDescent="0.25">
      <c r="A11" s="16">
        <v>45753</v>
      </c>
      <c r="B11" s="17" t="s">
        <v>46</v>
      </c>
      <c r="C11" s="18"/>
      <c r="D11" s="19"/>
      <c r="E11" s="20">
        <f>IF(WEEKDAY(A11,2)&lt;=5,Übersicht!$B$4,0)</f>
        <v>0</v>
      </c>
      <c r="F11" s="20" t="str">
        <f t="shared" si="0"/>
        <v/>
      </c>
      <c r="G11" s="21"/>
    </row>
    <row r="12" spans="1:7" x14ac:dyDescent="0.25">
      <c r="A12" s="22">
        <v>45754</v>
      </c>
      <c r="B12" s="23" t="s">
        <v>47</v>
      </c>
      <c r="C12" s="24" t="s">
        <v>85</v>
      </c>
      <c r="D12" s="25">
        <v>8</v>
      </c>
      <c r="E12" s="11">
        <f>IF(WEEKDAY(A12,2)&lt;=5,Übersicht!$B$4,0)</f>
        <v>8</v>
      </c>
      <c r="F12" s="11">
        <f t="shared" si="0"/>
        <v>0</v>
      </c>
      <c r="G12" s="26"/>
    </row>
    <row r="13" spans="1:7" x14ac:dyDescent="0.25">
      <c r="A13" s="22">
        <v>45755</v>
      </c>
      <c r="B13" s="23" t="s">
        <v>48</v>
      </c>
      <c r="C13" s="24" t="s">
        <v>85</v>
      </c>
      <c r="D13" s="25">
        <v>8</v>
      </c>
      <c r="E13" s="11">
        <f>IF(WEEKDAY(A13,2)&lt;=5,Übersicht!$B$4,0)</f>
        <v>8</v>
      </c>
      <c r="F13" s="11">
        <f t="shared" si="0"/>
        <v>0</v>
      </c>
      <c r="G13" s="26"/>
    </row>
    <row r="14" spans="1:7" x14ac:dyDescent="0.25">
      <c r="A14" s="22">
        <v>45756</v>
      </c>
      <c r="B14" s="23" t="s">
        <v>49</v>
      </c>
      <c r="C14" s="24" t="s">
        <v>85</v>
      </c>
      <c r="D14" s="25">
        <v>8</v>
      </c>
      <c r="E14" s="11">
        <f>IF(WEEKDAY(A14,2)&lt;=5,Übersicht!$B$4,0)</f>
        <v>8</v>
      </c>
      <c r="F14" s="11">
        <f t="shared" si="0"/>
        <v>0</v>
      </c>
      <c r="G14" s="26"/>
    </row>
    <row r="15" spans="1:7" x14ac:dyDescent="0.25">
      <c r="A15" s="22">
        <v>45757</v>
      </c>
      <c r="B15" s="23" t="s">
        <v>50</v>
      </c>
      <c r="C15" s="24" t="s">
        <v>85</v>
      </c>
      <c r="D15" s="25">
        <v>8</v>
      </c>
      <c r="E15" s="11">
        <f>IF(WEEKDAY(A15,2)&lt;=5,Übersicht!$B$4,0)</f>
        <v>8</v>
      </c>
      <c r="F15" s="11">
        <f t="shared" si="0"/>
        <v>0</v>
      </c>
      <c r="G15" s="26"/>
    </row>
    <row r="16" spans="1:7" x14ac:dyDescent="0.25">
      <c r="A16" s="22">
        <v>45758</v>
      </c>
      <c r="B16" s="23" t="s">
        <v>51</v>
      </c>
      <c r="C16" s="24" t="s">
        <v>85</v>
      </c>
      <c r="D16" s="25">
        <v>8</v>
      </c>
      <c r="E16" s="11">
        <f>IF(WEEKDAY(A16,2)&lt;=5,Übersicht!$B$4,0)</f>
        <v>8</v>
      </c>
      <c r="F16" s="11">
        <f t="shared" si="0"/>
        <v>0</v>
      </c>
      <c r="G16" s="26"/>
    </row>
    <row r="17" spans="1:7" x14ac:dyDescent="0.25">
      <c r="A17" s="16">
        <v>45759</v>
      </c>
      <c r="B17" s="17" t="s">
        <v>45</v>
      </c>
      <c r="C17" s="18"/>
      <c r="D17" s="19"/>
      <c r="E17" s="20">
        <f>IF(WEEKDAY(A17,2)&lt;=5,Übersicht!$B$4,0)</f>
        <v>0</v>
      </c>
      <c r="F17" s="20" t="str">
        <f t="shared" si="0"/>
        <v/>
      </c>
      <c r="G17" s="21"/>
    </row>
    <row r="18" spans="1:7" x14ac:dyDescent="0.25">
      <c r="A18" s="16">
        <v>45760</v>
      </c>
      <c r="B18" s="17" t="s">
        <v>46</v>
      </c>
      <c r="C18" s="18"/>
      <c r="D18" s="19"/>
      <c r="E18" s="20">
        <f>IF(WEEKDAY(A18,2)&lt;=5,Übersicht!$B$4,0)</f>
        <v>0</v>
      </c>
      <c r="F18" s="20" t="str">
        <f t="shared" si="0"/>
        <v/>
      </c>
      <c r="G18" s="21"/>
    </row>
    <row r="19" spans="1:7" x14ac:dyDescent="0.25">
      <c r="A19" s="22">
        <v>45761</v>
      </c>
      <c r="B19" s="23" t="s">
        <v>47</v>
      </c>
      <c r="C19" s="24" t="s">
        <v>85</v>
      </c>
      <c r="D19" s="25">
        <v>8</v>
      </c>
      <c r="E19" s="11">
        <f>IF(WEEKDAY(A19,2)&lt;=5,Übersicht!$B$4,0)</f>
        <v>8</v>
      </c>
      <c r="F19" s="11">
        <f t="shared" si="0"/>
        <v>0</v>
      </c>
      <c r="G19" s="26"/>
    </row>
    <row r="20" spans="1:7" x14ac:dyDescent="0.25">
      <c r="A20" s="22">
        <v>45762</v>
      </c>
      <c r="B20" s="23" t="s">
        <v>48</v>
      </c>
      <c r="C20" s="24" t="s">
        <v>85</v>
      </c>
      <c r="D20" s="25">
        <v>8</v>
      </c>
      <c r="E20" s="11">
        <f>IF(WEEKDAY(A20,2)&lt;=5,Übersicht!$B$4,0)</f>
        <v>8</v>
      </c>
      <c r="F20" s="11">
        <f t="shared" si="0"/>
        <v>0</v>
      </c>
      <c r="G20" s="26"/>
    </row>
    <row r="21" spans="1:7" x14ac:dyDescent="0.25">
      <c r="A21" s="22">
        <v>45763</v>
      </c>
      <c r="B21" s="23" t="s">
        <v>49</v>
      </c>
      <c r="C21" s="24" t="s">
        <v>85</v>
      </c>
      <c r="D21" s="25">
        <v>8</v>
      </c>
      <c r="E21" s="11">
        <f>IF(WEEKDAY(A21,2)&lt;=5,Übersicht!$B$4,0)</f>
        <v>8</v>
      </c>
      <c r="F21" s="11">
        <f t="shared" si="0"/>
        <v>0</v>
      </c>
      <c r="G21" s="26"/>
    </row>
    <row r="22" spans="1:7" x14ac:dyDescent="0.25">
      <c r="A22" s="22">
        <v>45764</v>
      </c>
      <c r="B22" s="23" t="s">
        <v>50</v>
      </c>
      <c r="C22" s="24" t="s">
        <v>85</v>
      </c>
      <c r="D22" s="25">
        <v>8</v>
      </c>
      <c r="E22" s="11">
        <f>IF(WEEKDAY(A22,2)&lt;=5,Übersicht!$B$4,0)</f>
        <v>8</v>
      </c>
      <c r="F22" s="11">
        <f t="shared" si="0"/>
        <v>0</v>
      </c>
      <c r="G22" s="26"/>
    </row>
    <row r="23" spans="1:7" x14ac:dyDescent="0.25">
      <c r="A23" s="22">
        <v>45765</v>
      </c>
      <c r="B23" s="23" t="s">
        <v>51</v>
      </c>
      <c r="C23" s="24" t="s">
        <v>56</v>
      </c>
      <c r="D23" s="25"/>
      <c r="E23" s="11">
        <f>IF(WEEKDAY(A23,2)&lt;=5,Übersicht!$B$4,0)</f>
        <v>8</v>
      </c>
      <c r="F23" s="11">
        <f t="shared" si="0"/>
        <v>0</v>
      </c>
      <c r="G23" s="26" t="s">
        <v>57</v>
      </c>
    </row>
    <row r="24" spans="1:7" x14ac:dyDescent="0.25">
      <c r="A24" s="16">
        <v>45766</v>
      </c>
      <c r="B24" s="17" t="s">
        <v>45</v>
      </c>
      <c r="C24" s="18"/>
      <c r="D24" s="19"/>
      <c r="E24" s="20">
        <f>IF(WEEKDAY(A24,2)&lt;=5,Übersicht!$B$4,0)</f>
        <v>0</v>
      </c>
      <c r="F24" s="20" t="str">
        <f t="shared" si="0"/>
        <v/>
      </c>
      <c r="G24" s="21"/>
    </row>
    <row r="25" spans="1:7" x14ac:dyDescent="0.25">
      <c r="A25" s="16">
        <v>45767</v>
      </c>
      <c r="B25" s="17" t="s">
        <v>46</v>
      </c>
      <c r="C25" s="18"/>
      <c r="D25" s="19"/>
      <c r="E25" s="20">
        <f>IF(WEEKDAY(A25,2)&lt;=5,Übersicht!$B$4,0)</f>
        <v>0</v>
      </c>
      <c r="F25" s="20" t="str">
        <f t="shared" si="0"/>
        <v/>
      </c>
      <c r="G25" s="21"/>
    </row>
    <row r="26" spans="1:7" x14ac:dyDescent="0.25">
      <c r="A26" s="22">
        <v>45768</v>
      </c>
      <c r="B26" s="23" t="s">
        <v>47</v>
      </c>
      <c r="C26" s="24" t="s">
        <v>56</v>
      </c>
      <c r="D26" s="25"/>
      <c r="E26" s="11">
        <f>IF(WEEKDAY(A26,2)&lt;=5,Übersicht!$B$4,0)</f>
        <v>8</v>
      </c>
      <c r="F26" s="11">
        <f t="shared" si="0"/>
        <v>0</v>
      </c>
      <c r="G26" s="26" t="s">
        <v>58</v>
      </c>
    </row>
    <row r="27" spans="1:7" x14ac:dyDescent="0.25">
      <c r="A27" s="22">
        <v>45769</v>
      </c>
      <c r="B27" s="23" t="s">
        <v>48</v>
      </c>
      <c r="C27" s="24" t="s">
        <v>85</v>
      </c>
      <c r="D27" s="25">
        <v>8</v>
      </c>
      <c r="E27" s="11">
        <f>IF(WEEKDAY(A27,2)&lt;=5,Übersicht!$B$4,0)</f>
        <v>8</v>
      </c>
      <c r="F27" s="11">
        <f t="shared" si="0"/>
        <v>0</v>
      </c>
      <c r="G27" s="26"/>
    </row>
    <row r="28" spans="1:7" x14ac:dyDescent="0.25">
      <c r="A28" s="22">
        <v>45770</v>
      </c>
      <c r="B28" s="23" t="s">
        <v>49</v>
      </c>
      <c r="C28" s="24" t="s">
        <v>85</v>
      </c>
      <c r="D28" s="25">
        <v>8</v>
      </c>
      <c r="E28" s="11">
        <f>IF(WEEKDAY(A28,2)&lt;=5,Übersicht!$B$4,0)</f>
        <v>8</v>
      </c>
      <c r="F28" s="11">
        <f t="shared" si="0"/>
        <v>0</v>
      </c>
      <c r="G28" s="26"/>
    </row>
    <row r="29" spans="1:7" x14ac:dyDescent="0.25">
      <c r="A29" s="22">
        <v>45771</v>
      </c>
      <c r="B29" s="23" t="s">
        <v>50</v>
      </c>
      <c r="C29" s="24" t="s">
        <v>85</v>
      </c>
      <c r="D29" s="25">
        <v>8</v>
      </c>
      <c r="E29" s="11">
        <f>IF(WEEKDAY(A29,2)&lt;=5,Übersicht!$B$4,0)</f>
        <v>8</v>
      </c>
      <c r="F29" s="11">
        <f t="shared" si="0"/>
        <v>0</v>
      </c>
      <c r="G29" s="26"/>
    </row>
    <row r="30" spans="1:7" x14ac:dyDescent="0.25">
      <c r="A30" s="22">
        <v>45772</v>
      </c>
      <c r="B30" s="23" t="s">
        <v>51</v>
      </c>
      <c r="C30" s="24" t="s">
        <v>85</v>
      </c>
      <c r="D30" s="25">
        <v>8</v>
      </c>
      <c r="E30" s="11">
        <f>IF(WEEKDAY(A30,2)&lt;=5,Übersicht!$B$4,0)</f>
        <v>8</v>
      </c>
      <c r="F30" s="11">
        <f t="shared" si="0"/>
        <v>0</v>
      </c>
      <c r="G30" s="26"/>
    </row>
    <row r="31" spans="1:7" x14ac:dyDescent="0.25">
      <c r="A31" s="16">
        <v>45773</v>
      </c>
      <c r="B31" s="17" t="s">
        <v>45</v>
      </c>
      <c r="C31" s="18"/>
      <c r="D31" s="19"/>
      <c r="E31" s="20">
        <f>IF(WEEKDAY(A31,2)&lt;=5,Übersicht!$B$4,0)</f>
        <v>0</v>
      </c>
      <c r="F31" s="20" t="str">
        <f t="shared" si="0"/>
        <v/>
      </c>
      <c r="G31" s="21"/>
    </row>
    <row r="32" spans="1:7" x14ac:dyDescent="0.25">
      <c r="A32" s="16">
        <v>45774</v>
      </c>
      <c r="B32" s="17" t="s">
        <v>46</v>
      </c>
      <c r="C32" s="18"/>
      <c r="D32" s="19"/>
      <c r="E32" s="20">
        <f>IF(WEEKDAY(A32,2)&lt;=5,Übersicht!$B$4,0)</f>
        <v>0</v>
      </c>
      <c r="F32" s="20" t="str">
        <f t="shared" si="0"/>
        <v/>
      </c>
      <c r="G32" s="21"/>
    </row>
    <row r="33" spans="1:7" x14ac:dyDescent="0.25">
      <c r="A33" s="22">
        <v>45775</v>
      </c>
      <c r="B33" s="23" t="s">
        <v>47</v>
      </c>
      <c r="C33" s="24" t="s">
        <v>85</v>
      </c>
      <c r="D33" s="25">
        <v>8</v>
      </c>
      <c r="E33" s="11">
        <f>IF(WEEKDAY(A33,2)&lt;=5,Übersicht!$B$4,0)</f>
        <v>8</v>
      </c>
      <c r="F33" s="11">
        <f t="shared" si="0"/>
        <v>0</v>
      </c>
      <c r="G33" s="26"/>
    </row>
    <row r="34" spans="1:7" x14ac:dyDescent="0.25">
      <c r="A34" s="22">
        <v>45776</v>
      </c>
      <c r="B34" s="23" t="s">
        <v>48</v>
      </c>
      <c r="C34" s="24" t="s">
        <v>85</v>
      </c>
      <c r="D34" s="25">
        <v>8</v>
      </c>
      <c r="E34" s="11">
        <f>IF(WEEKDAY(A34,2)&lt;=5,Übersicht!$B$4,0)</f>
        <v>8</v>
      </c>
      <c r="F34" s="11">
        <f t="shared" si="0"/>
        <v>0</v>
      </c>
      <c r="G34" s="26"/>
    </row>
    <row r="35" spans="1:7" x14ac:dyDescent="0.25">
      <c r="A35" s="22">
        <v>45777</v>
      </c>
      <c r="B35" s="23" t="s">
        <v>49</v>
      </c>
      <c r="C35" s="24" t="s">
        <v>85</v>
      </c>
      <c r="D35" s="25">
        <v>8</v>
      </c>
      <c r="E35" s="11">
        <f>IF(WEEKDAY(A35,2)&lt;=5,Übersicht!$B$4,0)</f>
        <v>8</v>
      </c>
      <c r="F35" s="11">
        <f t="shared" si="0"/>
        <v>0</v>
      </c>
      <c r="G35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176</v>
      </c>
      <c r="E38" s="13">
        <f>SUM(E6:E36)</f>
        <v>176</v>
      </c>
      <c r="F38" s="13">
        <f>SUM(F6:F36)</f>
        <v>0</v>
      </c>
      <c r="G38" s="27"/>
    </row>
    <row r="39" spans="1:7" x14ac:dyDescent="0.25">
      <c r="A39" s="6" t="s">
        <v>11</v>
      </c>
      <c r="B39" s="28">
        <f>COUNTIF(E6:E36,"&gt;0")</f>
        <v>22</v>
      </c>
    </row>
    <row r="40" spans="1:7" x14ac:dyDescent="0.25">
      <c r="A40" s="6" t="s">
        <v>16</v>
      </c>
      <c r="B40" s="28">
        <f>COUNTIF(C6:C36,"U")</f>
        <v>0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Übersicht!F18</f>
        <v>0</v>
      </c>
    </row>
  </sheetData>
  <mergeCells count="1">
    <mergeCell ref="B2:D2"/>
  </mergeCells>
  <dataValidations count="1">
    <dataValidation type="list" allowBlank="1" sqref="C6:C35" xr:uid="{00000000-0002-0000-03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D34" sqref="D34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59</v>
      </c>
    </row>
    <row r="2" spans="1:7" x14ac:dyDescent="0.25">
      <c r="A2" s="3" t="s">
        <v>39</v>
      </c>
      <c r="B2" s="1"/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22">
        <v>45778</v>
      </c>
      <c r="B6" s="23" t="s">
        <v>50</v>
      </c>
      <c r="C6" s="24" t="s">
        <v>56</v>
      </c>
      <c r="D6" s="25"/>
      <c r="E6" s="11">
        <f>IF(WEEKDAY(A6,2)&lt;=5,Übersicht!$B$4,0)</f>
        <v>8</v>
      </c>
      <c r="F6" s="11">
        <f t="shared" ref="F6:F36" si="0">IF(OR(C6="U",C6="K",C6="F",C6="G"),IF(D6="",0,D6),IF(D6="","",D6-E6))</f>
        <v>0</v>
      </c>
      <c r="G6" s="26" t="s">
        <v>60</v>
      </c>
    </row>
    <row r="7" spans="1:7" x14ac:dyDescent="0.25">
      <c r="A7" s="22">
        <v>45779</v>
      </c>
      <c r="B7" s="23" t="s">
        <v>51</v>
      </c>
      <c r="C7" s="24" t="s">
        <v>85</v>
      </c>
      <c r="D7" s="25">
        <v>8</v>
      </c>
      <c r="E7" s="11">
        <f>IF(WEEKDAY(A7,2)&lt;=5,Übersicht!$B$4,0)</f>
        <v>8</v>
      </c>
      <c r="F7" s="11">
        <f t="shared" si="0"/>
        <v>0</v>
      </c>
      <c r="G7" s="26"/>
    </row>
    <row r="8" spans="1:7" x14ac:dyDescent="0.25">
      <c r="A8" s="16">
        <v>45780</v>
      </c>
      <c r="B8" s="17" t="s">
        <v>45</v>
      </c>
      <c r="C8" s="18"/>
      <c r="D8" s="19"/>
      <c r="E8" s="20">
        <f>IF(WEEKDAY(A8,2)&lt;=5,Übersicht!$B$4,0)</f>
        <v>0</v>
      </c>
      <c r="F8" s="20" t="str">
        <f t="shared" si="0"/>
        <v/>
      </c>
      <c r="G8" s="21"/>
    </row>
    <row r="9" spans="1:7" x14ac:dyDescent="0.25">
      <c r="A9" s="16">
        <v>45781</v>
      </c>
      <c r="B9" s="17" t="s">
        <v>46</v>
      </c>
      <c r="C9" s="18"/>
      <c r="D9" s="19"/>
      <c r="E9" s="20">
        <f>IF(WEEKDAY(A9,2)&lt;=5,Übersicht!$B$4,0)</f>
        <v>0</v>
      </c>
      <c r="F9" s="20" t="str">
        <f t="shared" si="0"/>
        <v/>
      </c>
      <c r="G9" s="21"/>
    </row>
    <row r="10" spans="1:7" x14ac:dyDescent="0.25">
      <c r="A10" s="22">
        <v>45782</v>
      </c>
      <c r="B10" s="23" t="s">
        <v>47</v>
      </c>
      <c r="C10" s="24" t="s">
        <v>85</v>
      </c>
      <c r="D10" s="25">
        <v>8</v>
      </c>
      <c r="E10" s="11">
        <f>IF(WEEKDAY(A10,2)&lt;=5,Übersicht!$B$4,0)</f>
        <v>8</v>
      </c>
      <c r="F10" s="11">
        <f t="shared" si="0"/>
        <v>0</v>
      </c>
      <c r="G10" s="26"/>
    </row>
    <row r="11" spans="1:7" x14ac:dyDescent="0.25">
      <c r="A11" s="22">
        <v>45783</v>
      </c>
      <c r="B11" s="23" t="s">
        <v>48</v>
      </c>
      <c r="C11" s="24" t="s">
        <v>85</v>
      </c>
      <c r="D11" s="25">
        <v>8</v>
      </c>
      <c r="E11" s="11">
        <f>IF(WEEKDAY(A11,2)&lt;=5,Übersicht!$B$4,0)</f>
        <v>8</v>
      </c>
      <c r="F11" s="11">
        <f t="shared" si="0"/>
        <v>0</v>
      </c>
      <c r="G11" s="26"/>
    </row>
    <row r="12" spans="1:7" x14ac:dyDescent="0.25">
      <c r="A12" s="22">
        <v>45784</v>
      </c>
      <c r="B12" s="23" t="s">
        <v>49</v>
      </c>
      <c r="C12" s="24" t="s">
        <v>85</v>
      </c>
      <c r="D12" s="25">
        <v>8</v>
      </c>
      <c r="E12" s="11">
        <f>IF(WEEKDAY(A12,2)&lt;=5,Übersicht!$B$4,0)</f>
        <v>8</v>
      </c>
      <c r="F12" s="11">
        <f t="shared" si="0"/>
        <v>0</v>
      </c>
      <c r="G12" s="26"/>
    </row>
    <row r="13" spans="1:7" x14ac:dyDescent="0.25">
      <c r="A13" s="22">
        <v>45785</v>
      </c>
      <c r="B13" s="23" t="s">
        <v>50</v>
      </c>
      <c r="C13" s="24" t="s">
        <v>85</v>
      </c>
      <c r="D13" s="25">
        <v>8</v>
      </c>
      <c r="E13" s="11">
        <f>IF(WEEKDAY(A13,2)&lt;=5,Übersicht!$B$4,0)</f>
        <v>8</v>
      </c>
      <c r="F13" s="11">
        <f t="shared" si="0"/>
        <v>0</v>
      </c>
      <c r="G13" s="26"/>
    </row>
    <row r="14" spans="1:7" x14ac:dyDescent="0.25">
      <c r="A14" s="22">
        <v>45786</v>
      </c>
      <c r="B14" s="23" t="s">
        <v>51</v>
      </c>
      <c r="C14" s="24" t="s">
        <v>85</v>
      </c>
      <c r="D14" s="25">
        <v>8</v>
      </c>
      <c r="E14" s="11">
        <f>IF(WEEKDAY(A14,2)&lt;=5,Übersicht!$B$4,0)</f>
        <v>8</v>
      </c>
      <c r="F14" s="11">
        <f t="shared" si="0"/>
        <v>0</v>
      </c>
      <c r="G14" s="26"/>
    </row>
    <row r="15" spans="1:7" x14ac:dyDescent="0.25">
      <c r="A15" s="16">
        <v>45787</v>
      </c>
      <c r="B15" s="17" t="s">
        <v>45</v>
      </c>
      <c r="C15" s="18"/>
      <c r="D15" s="19"/>
      <c r="E15" s="20">
        <f>IF(WEEKDAY(A15,2)&lt;=5,Übersicht!$B$4,0)</f>
        <v>0</v>
      </c>
      <c r="F15" s="20" t="str">
        <f t="shared" si="0"/>
        <v/>
      </c>
      <c r="G15" s="21"/>
    </row>
    <row r="16" spans="1:7" x14ac:dyDescent="0.25">
      <c r="A16" s="16">
        <v>45788</v>
      </c>
      <c r="B16" s="17" t="s">
        <v>46</v>
      </c>
      <c r="C16" s="18"/>
      <c r="D16" s="19"/>
      <c r="E16" s="20">
        <f>IF(WEEKDAY(A16,2)&lt;=5,Übersicht!$B$4,0)</f>
        <v>0</v>
      </c>
      <c r="F16" s="20" t="str">
        <f t="shared" si="0"/>
        <v/>
      </c>
      <c r="G16" s="21"/>
    </row>
    <row r="17" spans="1:7" x14ac:dyDescent="0.25">
      <c r="A17" s="22">
        <v>45789</v>
      </c>
      <c r="B17" s="23" t="s">
        <v>47</v>
      </c>
      <c r="C17" s="24" t="s">
        <v>85</v>
      </c>
      <c r="D17" s="25">
        <v>8</v>
      </c>
      <c r="E17" s="11">
        <f>IF(WEEKDAY(A17,2)&lt;=5,Übersicht!$B$4,0)</f>
        <v>8</v>
      </c>
      <c r="F17" s="11">
        <f t="shared" si="0"/>
        <v>0</v>
      </c>
      <c r="G17" s="26"/>
    </row>
    <row r="18" spans="1:7" x14ac:dyDescent="0.25">
      <c r="A18" s="22">
        <v>45790</v>
      </c>
      <c r="B18" s="23" t="s">
        <v>48</v>
      </c>
      <c r="C18" s="24" t="s">
        <v>85</v>
      </c>
      <c r="D18" s="25">
        <v>8</v>
      </c>
      <c r="E18" s="11">
        <f>IF(WEEKDAY(A18,2)&lt;=5,Übersicht!$B$4,0)</f>
        <v>8</v>
      </c>
      <c r="F18" s="11">
        <f t="shared" si="0"/>
        <v>0</v>
      </c>
      <c r="G18" s="26"/>
    </row>
    <row r="19" spans="1:7" x14ac:dyDescent="0.25">
      <c r="A19" s="22">
        <v>45791</v>
      </c>
      <c r="B19" s="23" t="s">
        <v>49</v>
      </c>
      <c r="C19" s="24" t="s">
        <v>87</v>
      </c>
      <c r="D19" s="25"/>
      <c r="E19" s="11">
        <f>IF(WEEKDAY(A19,2)&lt;=5,Übersicht!$B$4,0)</f>
        <v>8</v>
      </c>
      <c r="F19" s="11">
        <f t="shared" si="0"/>
        <v>0</v>
      </c>
      <c r="G19" s="26"/>
    </row>
    <row r="20" spans="1:7" x14ac:dyDescent="0.25">
      <c r="A20" s="22">
        <v>45792</v>
      </c>
      <c r="B20" s="23" t="s">
        <v>50</v>
      </c>
      <c r="C20" s="24" t="s">
        <v>85</v>
      </c>
      <c r="D20" s="25">
        <v>8</v>
      </c>
      <c r="E20" s="11">
        <f>IF(WEEKDAY(A20,2)&lt;=5,Übersicht!$B$4,0)</f>
        <v>8</v>
      </c>
      <c r="F20" s="11">
        <f t="shared" si="0"/>
        <v>0</v>
      </c>
      <c r="G20" s="26"/>
    </row>
    <row r="21" spans="1:7" x14ac:dyDescent="0.25">
      <c r="A21" s="22">
        <v>45793</v>
      </c>
      <c r="B21" s="23" t="s">
        <v>51</v>
      </c>
      <c r="C21" s="24" t="s">
        <v>85</v>
      </c>
      <c r="D21" s="25">
        <v>8</v>
      </c>
      <c r="E21" s="11">
        <f>IF(WEEKDAY(A21,2)&lt;=5,Übersicht!$B$4,0)</f>
        <v>8</v>
      </c>
      <c r="F21" s="11">
        <f t="shared" si="0"/>
        <v>0</v>
      </c>
      <c r="G21" s="26"/>
    </row>
    <row r="22" spans="1:7" x14ac:dyDescent="0.25">
      <c r="A22" s="16">
        <v>45794</v>
      </c>
      <c r="B22" s="17" t="s">
        <v>45</v>
      </c>
      <c r="C22" s="18"/>
      <c r="D22" s="19"/>
      <c r="E22" s="20">
        <f>IF(WEEKDAY(A22,2)&lt;=5,Übersicht!$B$4,0)</f>
        <v>0</v>
      </c>
      <c r="F22" s="20" t="str">
        <f t="shared" si="0"/>
        <v/>
      </c>
      <c r="G22" s="21"/>
    </row>
    <row r="23" spans="1:7" x14ac:dyDescent="0.25">
      <c r="A23" s="16">
        <v>45795</v>
      </c>
      <c r="B23" s="17" t="s">
        <v>46</v>
      </c>
      <c r="C23" s="18"/>
      <c r="D23" s="19"/>
      <c r="E23" s="20">
        <f>IF(WEEKDAY(A23,2)&lt;=5,Übersicht!$B$4,0)</f>
        <v>0</v>
      </c>
      <c r="F23" s="20" t="str">
        <f t="shared" si="0"/>
        <v/>
      </c>
      <c r="G23" s="21"/>
    </row>
    <row r="24" spans="1:7" x14ac:dyDescent="0.25">
      <c r="A24" s="22">
        <v>45796</v>
      </c>
      <c r="B24" s="23" t="s">
        <v>47</v>
      </c>
      <c r="C24" s="24" t="s">
        <v>85</v>
      </c>
      <c r="D24" s="25">
        <v>8</v>
      </c>
      <c r="E24" s="11">
        <f>IF(WEEKDAY(A24,2)&lt;=5,Übersicht!$B$4,0)</f>
        <v>8</v>
      </c>
      <c r="F24" s="11">
        <f t="shared" si="0"/>
        <v>0</v>
      </c>
      <c r="G24" s="26"/>
    </row>
    <row r="25" spans="1:7" x14ac:dyDescent="0.25">
      <c r="A25" s="22">
        <v>45797</v>
      </c>
      <c r="B25" s="23" t="s">
        <v>48</v>
      </c>
      <c r="C25" s="24" t="s">
        <v>85</v>
      </c>
      <c r="D25" s="25">
        <v>8</v>
      </c>
      <c r="E25" s="11">
        <f>IF(WEEKDAY(A25,2)&lt;=5,Übersicht!$B$4,0)</f>
        <v>8</v>
      </c>
      <c r="F25" s="11">
        <f t="shared" si="0"/>
        <v>0</v>
      </c>
      <c r="G25" s="26"/>
    </row>
    <row r="26" spans="1:7" x14ac:dyDescent="0.25">
      <c r="A26" s="22">
        <v>45798</v>
      </c>
      <c r="B26" s="23" t="s">
        <v>49</v>
      </c>
      <c r="C26" s="24" t="s">
        <v>85</v>
      </c>
      <c r="D26" s="25">
        <v>8</v>
      </c>
      <c r="E26" s="11">
        <f>IF(WEEKDAY(A26,2)&lt;=5,Übersicht!$B$4,0)</f>
        <v>8</v>
      </c>
      <c r="F26" s="11">
        <f t="shared" si="0"/>
        <v>0</v>
      </c>
      <c r="G26" s="26"/>
    </row>
    <row r="27" spans="1:7" x14ac:dyDescent="0.25">
      <c r="A27" s="22">
        <v>45799</v>
      </c>
      <c r="B27" s="23" t="s">
        <v>50</v>
      </c>
      <c r="C27" s="24" t="s">
        <v>85</v>
      </c>
      <c r="D27" s="25">
        <v>8</v>
      </c>
      <c r="E27" s="11">
        <f>IF(WEEKDAY(A27,2)&lt;=5,Übersicht!$B$4,0)</f>
        <v>8</v>
      </c>
      <c r="F27" s="11">
        <f t="shared" si="0"/>
        <v>0</v>
      </c>
      <c r="G27" s="26"/>
    </row>
    <row r="28" spans="1:7" x14ac:dyDescent="0.25">
      <c r="A28" s="22">
        <v>45800</v>
      </c>
      <c r="B28" s="23" t="s">
        <v>51</v>
      </c>
      <c r="C28" s="24" t="s">
        <v>85</v>
      </c>
      <c r="D28" s="25">
        <v>8</v>
      </c>
      <c r="E28" s="11">
        <f>IF(WEEKDAY(A28,2)&lt;=5,Übersicht!$B$4,0)</f>
        <v>8</v>
      </c>
      <c r="F28" s="11">
        <f t="shared" si="0"/>
        <v>0</v>
      </c>
      <c r="G28" s="26"/>
    </row>
    <row r="29" spans="1:7" x14ac:dyDescent="0.25">
      <c r="A29" s="16">
        <v>45801</v>
      </c>
      <c r="B29" s="17" t="s">
        <v>45</v>
      </c>
      <c r="C29" s="18"/>
      <c r="D29" s="19"/>
      <c r="E29" s="20">
        <f>IF(WEEKDAY(A29,2)&lt;=5,Übersicht!$B$4,0)</f>
        <v>0</v>
      </c>
      <c r="F29" s="20" t="str">
        <f t="shared" si="0"/>
        <v/>
      </c>
      <c r="G29" s="21"/>
    </row>
    <row r="30" spans="1:7" x14ac:dyDescent="0.25">
      <c r="A30" s="16">
        <v>45802</v>
      </c>
      <c r="B30" s="17" t="s">
        <v>46</v>
      </c>
      <c r="C30" s="18"/>
      <c r="D30" s="19"/>
      <c r="E30" s="20">
        <f>IF(WEEKDAY(A30,2)&lt;=5,Übersicht!$B$4,0)</f>
        <v>0</v>
      </c>
      <c r="F30" s="20" t="str">
        <f t="shared" si="0"/>
        <v/>
      </c>
      <c r="G30" s="21"/>
    </row>
    <row r="31" spans="1:7" x14ac:dyDescent="0.25">
      <c r="A31" s="22">
        <v>45803</v>
      </c>
      <c r="B31" s="23" t="s">
        <v>47</v>
      </c>
      <c r="C31" s="24" t="s">
        <v>85</v>
      </c>
      <c r="D31" s="25">
        <v>8</v>
      </c>
      <c r="E31" s="11">
        <f>IF(WEEKDAY(A31,2)&lt;=5,Übersicht!$B$4,0)</f>
        <v>8</v>
      </c>
      <c r="F31" s="11">
        <f t="shared" si="0"/>
        <v>0</v>
      </c>
      <c r="G31" s="26"/>
    </row>
    <row r="32" spans="1:7" x14ac:dyDescent="0.25">
      <c r="A32" s="22">
        <v>45804</v>
      </c>
      <c r="B32" s="23" t="s">
        <v>48</v>
      </c>
      <c r="C32" s="24" t="s">
        <v>85</v>
      </c>
      <c r="D32" s="25">
        <v>8</v>
      </c>
      <c r="E32" s="11">
        <f>IF(WEEKDAY(A32,2)&lt;=5,Übersicht!$B$4,0)</f>
        <v>8</v>
      </c>
      <c r="F32" s="11">
        <f t="shared" si="0"/>
        <v>0</v>
      </c>
      <c r="G32" s="26"/>
    </row>
    <row r="33" spans="1:7" x14ac:dyDescent="0.25">
      <c r="A33" s="22">
        <v>45805</v>
      </c>
      <c r="B33" s="23" t="s">
        <v>49</v>
      </c>
      <c r="C33" s="24" t="s">
        <v>85</v>
      </c>
      <c r="D33" s="25">
        <v>8</v>
      </c>
      <c r="E33" s="11">
        <f>IF(WEEKDAY(A33,2)&lt;=5,Übersicht!$B$4,0)</f>
        <v>8</v>
      </c>
      <c r="F33" s="11">
        <f t="shared" si="0"/>
        <v>0</v>
      </c>
      <c r="G33" s="26"/>
    </row>
    <row r="34" spans="1:7" x14ac:dyDescent="0.25">
      <c r="A34" s="22">
        <v>45806</v>
      </c>
      <c r="B34" s="23" t="s">
        <v>50</v>
      </c>
      <c r="C34" s="24" t="s">
        <v>56</v>
      </c>
      <c r="D34" s="25"/>
      <c r="E34" s="11">
        <f>IF(WEEKDAY(A34,2)&lt;=5,Übersicht!$B$4,0)</f>
        <v>8</v>
      </c>
      <c r="F34" s="11">
        <f t="shared" si="0"/>
        <v>0</v>
      </c>
      <c r="G34" s="26" t="s">
        <v>61</v>
      </c>
    </row>
    <row r="35" spans="1:7" x14ac:dyDescent="0.25">
      <c r="A35" s="22">
        <v>45807</v>
      </c>
      <c r="B35" s="23" t="s">
        <v>51</v>
      </c>
      <c r="C35" s="24" t="s">
        <v>87</v>
      </c>
      <c r="D35" s="25"/>
      <c r="E35" s="11">
        <f>IF(WEEKDAY(A35,2)&lt;=5,Übersicht!$B$4,0)</f>
        <v>8</v>
      </c>
      <c r="F35" s="11">
        <f t="shared" si="0"/>
        <v>0</v>
      </c>
      <c r="G35" s="26"/>
    </row>
    <row r="36" spans="1:7" x14ac:dyDescent="0.25">
      <c r="A36" s="16">
        <v>45808</v>
      </c>
      <c r="B36" s="17" t="s">
        <v>45</v>
      </c>
      <c r="C36" s="18"/>
      <c r="D36" s="19"/>
      <c r="E36" s="20">
        <f>IF(WEEKDAY(A36,2)&lt;=5,Übersicht!$B$4,0)</f>
        <v>0</v>
      </c>
      <c r="F36" s="20" t="str">
        <f t="shared" si="0"/>
        <v/>
      </c>
      <c r="G36" s="21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176</v>
      </c>
      <c r="E38" s="13">
        <f>SUM(E6:E36)</f>
        <v>176</v>
      </c>
      <c r="F38" s="13">
        <f>SUM(F6:F36)</f>
        <v>0</v>
      </c>
      <c r="G38" s="27"/>
    </row>
    <row r="39" spans="1:7" x14ac:dyDescent="0.25">
      <c r="A39" s="6" t="s">
        <v>11</v>
      </c>
      <c r="B39" s="28">
        <f>COUNTIF(E6:E36,"&gt;0")</f>
        <v>22</v>
      </c>
    </row>
    <row r="40" spans="1:7" x14ac:dyDescent="0.25">
      <c r="A40" s="6" t="s">
        <v>16</v>
      </c>
      <c r="B40" s="28">
        <f>COUNTIF(C6:C36,"U")</f>
        <v>2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Übersicht!F19</f>
        <v>0</v>
      </c>
    </row>
  </sheetData>
  <mergeCells count="1">
    <mergeCell ref="B2:D2"/>
  </mergeCells>
  <dataValidations count="1">
    <dataValidation type="list" allowBlank="1" sqref="C6:C36" xr:uid="{00000000-0002-0000-04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B2" sqref="B2:D2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62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16">
        <v>45809</v>
      </c>
      <c r="B6" s="17" t="s">
        <v>46</v>
      </c>
      <c r="C6" s="18"/>
      <c r="D6" s="19"/>
      <c r="E6" s="20">
        <f>IF(WEEKDAY(A6,2)&lt;=5,Übersicht!$B$4,0)</f>
        <v>0</v>
      </c>
      <c r="F6" s="20" t="str">
        <f t="shared" ref="F6:F35" si="0">IF(OR(C6="U",C6="K",C6="F",C6="G"),IF(D6="",0,D6),IF(D6="","",D6-E6))</f>
        <v/>
      </c>
      <c r="G6" s="21"/>
    </row>
    <row r="7" spans="1:7" x14ac:dyDescent="0.25">
      <c r="A7" s="22">
        <v>45810</v>
      </c>
      <c r="B7" s="23" t="s">
        <v>47</v>
      </c>
      <c r="C7" s="24" t="s">
        <v>88</v>
      </c>
      <c r="D7" s="25">
        <v>0</v>
      </c>
      <c r="E7" s="11">
        <f>IF(WEEKDAY(A7,2)&lt;=5,Übersicht!$B$4,0)</f>
        <v>8</v>
      </c>
      <c r="F7" s="11">
        <f t="shared" si="0"/>
        <v>-8</v>
      </c>
      <c r="G7" s="26" t="s">
        <v>89</v>
      </c>
    </row>
    <row r="8" spans="1:7" x14ac:dyDescent="0.25">
      <c r="A8" s="22">
        <v>45811</v>
      </c>
      <c r="B8" s="23" t="s">
        <v>48</v>
      </c>
      <c r="C8" s="24" t="s">
        <v>88</v>
      </c>
      <c r="D8" s="25">
        <v>0</v>
      </c>
      <c r="E8" s="11">
        <f>IF(WEEKDAY(A8,2)&lt;=5,Übersicht!$B$4,0)</f>
        <v>8</v>
      </c>
      <c r="F8" s="11">
        <f t="shared" si="0"/>
        <v>-8</v>
      </c>
      <c r="G8" s="26" t="s">
        <v>89</v>
      </c>
    </row>
    <row r="9" spans="1:7" x14ac:dyDescent="0.25">
      <c r="A9" s="22">
        <v>45812</v>
      </c>
      <c r="B9" s="23" t="s">
        <v>49</v>
      </c>
      <c r="C9" s="24" t="s">
        <v>85</v>
      </c>
      <c r="D9" s="25">
        <v>8</v>
      </c>
      <c r="E9" s="11">
        <f>IF(WEEKDAY(A9,2)&lt;=5,Übersicht!$B$4,0)</f>
        <v>8</v>
      </c>
      <c r="F9" s="11">
        <f t="shared" si="0"/>
        <v>0</v>
      </c>
      <c r="G9" s="26"/>
    </row>
    <row r="10" spans="1:7" x14ac:dyDescent="0.25">
      <c r="A10" s="22">
        <v>45813</v>
      </c>
      <c r="B10" s="23" t="s">
        <v>50</v>
      </c>
      <c r="C10" s="24" t="s">
        <v>85</v>
      </c>
      <c r="D10" s="25">
        <v>8</v>
      </c>
      <c r="E10" s="11">
        <f>IF(WEEKDAY(A10,2)&lt;=5,Übersicht!$B$4,0)</f>
        <v>8</v>
      </c>
      <c r="F10" s="11">
        <f t="shared" si="0"/>
        <v>0</v>
      </c>
      <c r="G10" s="26"/>
    </row>
    <row r="11" spans="1:7" x14ac:dyDescent="0.25">
      <c r="A11" s="22">
        <v>45814</v>
      </c>
      <c r="B11" s="23" t="s">
        <v>51</v>
      </c>
      <c r="C11" s="24" t="s">
        <v>85</v>
      </c>
      <c r="D11" s="25">
        <v>8</v>
      </c>
      <c r="E11" s="11">
        <f>IF(WEEKDAY(A11,2)&lt;=5,Übersicht!$B$4,0)</f>
        <v>8</v>
      </c>
      <c r="F11" s="11">
        <f t="shared" si="0"/>
        <v>0</v>
      </c>
      <c r="G11" s="26"/>
    </row>
    <row r="12" spans="1:7" x14ac:dyDescent="0.25">
      <c r="A12" s="16">
        <v>45815</v>
      </c>
      <c r="B12" s="17" t="s">
        <v>45</v>
      </c>
      <c r="C12" s="18"/>
      <c r="D12" s="19"/>
      <c r="E12" s="20">
        <f>IF(WEEKDAY(A12,2)&lt;=5,Übersicht!$B$4,0)</f>
        <v>0</v>
      </c>
      <c r="F12" s="20" t="str">
        <f t="shared" si="0"/>
        <v/>
      </c>
      <c r="G12" s="21"/>
    </row>
    <row r="13" spans="1:7" x14ac:dyDescent="0.25">
      <c r="A13" s="16">
        <v>45816</v>
      </c>
      <c r="B13" s="17" t="s">
        <v>46</v>
      </c>
      <c r="C13" s="18"/>
      <c r="D13" s="19"/>
      <c r="E13" s="20">
        <f>IF(WEEKDAY(A13,2)&lt;=5,Übersicht!$B$4,0)</f>
        <v>0</v>
      </c>
      <c r="F13" s="20" t="str">
        <f t="shared" si="0"/>
        <v/>
      </c>
      <c r="G13" s="21"/>
    </row>
    <row r="14" spans="1:7" x14ac:dyDescent="0.25">
      <c r="A14" s="22">
        <v>45817</v>
      </c>
      <c r="B14" s="23" t="s">
        <v>47</v>
      </c>
      <c r="C14" s="24" t="s">
        <v>56</v>
      </c>
      <c r="D14" s="25"/>
      <c r="E14" s="11">
        <f>IF(WEEKDAY(A14,2)&lt;=5,Übersicht!$B$4,0)</f>
        <v>8</v>
      </c>
      <c r="F14" s="11">
        <f t="shared" si="0"/>
        <v>0</v>
      </c>
      <c r="G14" s="26" t="s">
        <v>63</v>
      </c>
    </row>
    <row r="15" spans="1:7" x14ac:dyDescent="0.25">
      <c r="A15" s="22">
        <v>45818</v>
      </c>
      <c r="B15" s="23" t="s">
        <v>48</v>
      </c>
      <c r="C15" s="24" t="s">
        <v>85</v>
      </c>
      <c r="D15" s="25">
        <v>8</v>
      </c>
      <c r="E15" s="11">
        <f>IF(WEEKDAY(A15,2)&lt;=5,Übersicht!$B$4,0)</f>
        <v>8</v>
      </c>
      <c r="F15" s="11">
        <f t="shared" si="0"/>
        <v>0</v>
      </c>
      <c r="G15" s="26"/>
    </row>
    <row r="16" spans="1:7" x14ac:dyDescent="0.25">
      <c r="A16" s="22">
        <v>45819</v>
      </c>
      <c r="B16" s="23" t="s">
        <v>49</v>
      </c>
      <c r="C16" s="24" t="s">
        <v>85</v>
      </c>
      <c r="D16" s="25">
        <v>8</v>
      </c>
      <c r="E16" s="11">
        <f>IF(WEEKDAY(A16,2)&lt;=5,Übersicht!$B$4,0)</f>
        <v>8</v>
      </c>
      <c r="F16" s="11">
        <f t="shared" si="0"/>
        <v>0</v>
      </c>
      <c r="G16" s="26"/>
    </row>
    <row r="17" spans="1:7" x14ac:dyDescent="0.25">
      <c r="A17" s="22">
        <v>45820</v>
      </c>
      <c r="B17" s="23" t="s">
        <v>50</v>
      </c>
      <c r="C17" s="24" t="s">
        <v>85</v>
      </c>
      <c r="D17" s="25">
        <v>8</v>
      </c>
      <c r="E17" s="11">
        <f>IF(WEEKDAY(A17,2)&lt;=5,Übersicht!$B$4,0)</f>
        <v>8</v>
      </c>
      <c r="F17" s="11">
        <f t="shared" si="0"/>
        <v>0</v>
      </c>
      <c r="G17" s="26"/>
    </row>
    <row r="18" spans="1:7" x14ac:dyDescent="0.25">
      <c r="A18" s="22">
        <v>45821</v>
      </c>
      <c r="B18" s="23" t="s">
        <v>51</v>
      </c>
      <c r="C18" s="24" t="s">
        <v>85</v>
      </c>
      <c r="D18" s="25">
        <v>8</v>
      </c>
      <c r="E18" s="11">
        <f>IF(WEEKDAY(A18,2)&lt;=5,Übersicht!$B$4,0)</f>
        <v>8</v>
      </c>
      <c r="F18" s="11">
        <f t="shared" si="0"/>
        <v>0</v>
      </c>
      <c r="G18" s="26"/>
    </row>
    <row r="19" spans="1:7" x14ac:dyDescent="0.25">
      <c r="A19" s="16">
        <v>45822</v>
      </c>
      <c r="B19" s="17" t="s">
        <v>45</v>
      </c>
      <c r="C19" s="18"/>
      <c r="D19" s="19"/>
      <c r="E19" s="20">
        <f>IF(WEEKDAY(A19,2)&lt;=5,Übersicht!$B$4,0)</f>
        <v>0</v>
      </c>
      <c r="F19" s="20" t="str">
        <f t="shared" si="0"/>
        <v/>
      </c>
      <c r="G19" s="21"/>
    </row>
    <row r="20" spans="1:7" x14ac:dyDescent="0.25">
      <c r="A20" s="16">
        <v>45823</v>
      </c>
      <c r="B20" s="17" t="s">
        <v>46</v>
      </c>
      <c r="C20" s="18"/>
      <c r="D20" s="19"/>
      <c r="E20" s="20">
        <f>IF(WEEKDAY(A20,2)&lt;=5,Übersicht!$B$4,0)</f>
        <v>0</v>
      </c>
      <c r="F20" s="20" t="str">
        <f t="shared" si="0"/>
        <v/>
      </c>
      <c r="G20" s="21"/>
    </row>
    <row r="21" spans="1:7" x14ac:dyDescent="0.25">
      <c r="A21" s="22">
        <v>45824</v>
      </c>
      <c r="B21" s="23" t="s">
        <v>47</v>
      </c>
      <c r="C21" s="24" t="s">
        <v>85</v>
      </c>
      <c r="D21" s="25">
        <v>8</v>
      </c>
      <c r="E21" s="11">
        <f>IF(WEEKDAY(A21,2)&lt;=5,Übersicht!$B$4,0)</f>
        <v>8</v>
      </c>
      <c r="F21" s="11">
        <f t="shared" si="0"/>
        <v>0</v>
      </c>
      <c r="G21" s="26"/>
    </row>
    <row r="22" spans="1:7" x14ac:dyDescent="0.25">
      <c r="A22" s="22">
        <v>45825</v>
      </c>
      <c r="B22" s="23" t="s">
        <v>48</v>
      </c>
      <c r="C22" s="24" t="s">
        <v>85</v>
      </c>
      <c r="D22" s="25">
        <v>8</v>
      </c>
      <c r="E22" s="11">
        <f>IF(WEEKDAY(A22,2)&lt;=5,Übersicht!$B$4,0)</f>
        <v>8</v>
      </c>
      <c r="F22" s="11">
        <f t="shared" si="0"/>
        <v>0</v>
      </c>
      <c r="G22" s="26"/>
    </row>
    <row r="23" spans="1:7" x14ac:dyDescent="0.25">
      <c r="A23" s="22">
        <v>45826</v>
      </c>
      <c r="B23" s="23" t="s">
        <v>49</v>
      </c>
      <c r="C23" s="24" t="s">
        <v>85</v>
      </c>
      <c r="D23" s="25">
        <v>8</v>
      </c>
      <c r="E23" s="11">
        <f>IF(WEEKDAY(A23,2)&lt;=5,Übersicht!$B$4,0)</f>
        <v>8</v>
      </c>
      <c r="F23" s="11">
        <f t="shared" si="0"/>
        <v>0</v>
      </c>
      <c r="G23" s="26"/>
    </row>
    <row r="24" spans="1:7" x14ac:dyDescent="0.25">
      <c r="A24" s="22">
        <v>45827</v>
      </c>
      <c r="B24" s="23" t="s">
        <v>50</v>
      </c>
      <c r="C24" s="24" t="s">
        <v>56</v>
      </c>
      <c r="D24" s="25"/>
      <c r="E24" s="11">
        <f>IF(WEEKDAY(A24,2)&lt;=5,Übersicht!$B$4,0)</f>
        <v>8</v>
      </c>
      <c r="F24" s="11">
        <f t="shared" si="0"/>
        <v>0</v>
      </c>
      <c r="G24" s="26" t="s">
        <v>64</v>
      </c>
    </row>
    <row r="25" spans="1:7" x14ac:dyDescent="0.25">
      <c r="A25" s="22">
        <v>45828</v>
      </c>
      <c r="B25" s="23" t="s">
        <v>51</v>
      </c>
      <c r="C25" s="24" t="s">
        <v>85</v>
      </c>
      <c r="D25" s="25">
        <v>8</v>
      </c>
      <c r="E25" s="11">
        <f>IF(WEEKDAY(A25,2)&lt;=5,Übersicht!$B$4,0)</f>
        <v>8</v>
      </c>
      <c r="F25" s="11">
        <f t="shared" si="0"/>
        <v>0</v>
      </c>
      <c r="G25" s="26"/>
    </row>
    <row r="26" spans="1:7" x14ac:dyDescent="0.25">
      <c r="A26" s="16">
        <v>45829</v>
      </c>
      <c r="B26" s="17" t="s">
        <v>45</v>
      </c>
      <c r="C26" s="18"/>
      <c r="D26" s="19"/>
      <c r="E26" s="20">
        <f>IF(WEEKDAY(A26,2)&lt;=5,Übersicht!$B$4,0)</f>
        <v>0</v>
      </c>
      <c r="F26" s="20" t="str">
        <f t="shared" si="0"/>
        <v/>
      </c>
      <c r="G26" s="21"/>
    </row>
    <row r="27" spans="1:7" x14ac:dyDescent="0.25">
      <c r="A27" s="16">
        <v>45830</v>
      </c>
      <c r="B27" s="17" t="s">
        <v>46</v>
      </c>
      <c r="C27" s="18"/>
      <c r="D27" s="19"/>
      <c r="E27" s="20">
        <f>IF(WEEKDAY(A27,2)&lt;=5,Übersicht!$B$4,0)</f>
        <v>0</v>
      </c>
      <c r="F27" s="20" t="str">
        <f t="shared" si="0"/>
        <v/>
      </c>
      <c r="G27" s="21"/>
    </row>
    <row r="28" spans="1:7" x14ac:dyDescent="0.25">
      <c r="A28" s="22">
        <v>45831</v>
      </c>
      <c r="B28" s="23" t="s">
        <v>47</v>
      </c>
      <c r="C28" s="24" t="s">
        <v>85</v>
      </c>
      <c r="D28" s="25">
        <v>8</v>
      </c>
      <c r="E28" s="11">
        <f>IF(WEEKDAY(A28,2)&lt;=5,Übersicht!$B$4,0)</f>
        <v>8</v>
      </c>
      <c r="F28" s="11">
        <f t="shared" si="0"/>
        <v>0</v>
      </c>
      <c r="G28" s="26"/>
    </row>
    <row r="29" spans="1:7" x14ac:dyDescent="0.25">
      <c r="A29" s="22">
        <v>45832</v>
      </c>
      <c r="B29" s="23" t="s">
        <v>48</v>
      </c>
      <c r="C29" s="24" t="s">
        <v>85</v>
      </c>
      <c r="D29" s="25">
        <v>8</v>
      </c>
      <c r="E29" s="11">
        <f>IF(WEEKDAY(A29,2)&lt;=5,Übersicht!$B$4,0)</f>
        <v>8</v>
      </c>
      <c r="F29" s="11">
        <f t="shared" si="0"/>
        <v>0</v>
      </c>
      <c r="G29" s="26"/>
    </row>
    <row r="30" spans="1:7" x14ac:dyDescent="0.25">
      <c r="A30" s="22">
        <v>45833</v>
      </c>
      <c r="B30" s="23" t="s">
        <v>49</v>
      </c>
      <c r="C30" s="24" t="s">
        <v>85</v>
      </c>
      <c r="D30" s="25">
        <v>8</v>
      </c>
      <c r="E30" s="11">
        <f>IF(WEEKDAY(A30,2)&lt;=5,Übersicht!$B$4,0)</f>
        <v>8</v>
      </c>
      <c r="F30" s="11">
        <f t="shared" si="0"/>
        <v>0</v>
      </c>
      <c r="G30" s="26"/>
    </row>
    <row r="31" spans="1:7" x14ac:dyDescent="0.25">
      <c r="A31" s="22">
        <v>45834</v>
      </c>
      <c r="B31" s="23" t="s">
        <v>50</v>
      </c>
      <c r="C31" s="24" t="s">
        <v>85</v>
      </c>
      <c r="D31" s="25">
        <v>8</v>
      </c>
      <c r="E31" s="11">
        <f>IF(WEEKDAY(A31,2)&lt;=5,Übersicht!$B$4,0)</f>
        <v>8</v>
      </c>
      <c r="F31" s="11">
        <f t="shared" si="0"/>
        <v>0</v>
      </c>
      <c r="G31" s="26"/>
    </row>
    <row r="32" spans="1:7" x14ac:dyDescent="0.25">
      <c r="A32" s="22">
        <v>45835</v>
      </c>
      <c r="B32" s="23" t="s">
        <v>51</v>
      </c>
      <c r="C32" s="24" t="s">
        <v>85</v>
      </c>
      <c r="D32" s="25">
        <v>8</v>
      </c>
      <c r="E32" s="11">
        <f>IF(WEEKDAY(A32,2)&lt;=5,Übersicht!$B$4,0)</f>
        <v>8</v>
      </c>
      <c r="F32" s="11">
        <f t="shared" si="0"/>
        <v>0</v>
      </c>
      <c r="G32" s="26"/>
    </row>
    <row r="33" spans="1:7" x14ac:dyDescent="0.25">
      <c r="A33" s="16">
        <v>45836</v>
      </c>
      <c r="B33" s="17" t="s">
        <v>45</v>
      </c>
      <c r="C33" s="18"/>
      <c r="D33" s="19"/>
      <c r="E33" s="20">
        <f>IF(WEEKDAY(A33,2)&lt;=5,Übersicht!$B$4,0)</f>
        <v>0</v>
      </c>
      <c r="F33" s="20" t="str">
        <f t="shared" si="0"/>
        <v/>
      </c>
      <c r="G33" s="21"/>
    </row>
    <row r="34" spans="1:7" x14ac:dyDescent="0.25">
      <c r="A34" s="16">
        <v>45837</v>
      </c>
      <c r="B34" s="17" t="s">
        <v>46</v>
      </c>
      <c r="C34" s="18"/>
      <c r="D34" s="19"/>
      <c r="E34" s="20">
        <f>IF(WEEKDAY(A34,2)&lt;=5,Übersicht!$B$4,0)</f>
        <v>0</v>
      </c>
      <c r="F34" s="20" t="str">
        <f t="shared" si="0"/>
        <v/>
      </c>
      <c r="G34" s="21"/>
    </row>
    <row r="35" spans="1:7" x14ac:dyDescent="0.25">
      <c r="A35" s="22">
        <v>45838</v>
      </c>
      <c r="B35" s="23" t="s">
        <v>47</v>
      </c>
      <c r="C35" s="24" t="s">
        <v>85</v>
      </c>
      <c r="D35" s="25">
        <v>8</v>
      </c>
      <c r="E35" s="11">
        <f>IF(WEEKDAY(A35,2)&lt;=5,Übersicht!$B$4,0)</f>
        <v>8</v>
      </c>
      <c r="F35" s="11">
        <f t="shared" si="0"/>
        <v>0</v>
      </c>
      <c r="G35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152</v>
      </c>
      <c r="E38" s="13">
        <f>SUM(E6:E36)</f>
        <v>168</v>
      </c>
      <c r="F38" s="13">
        <f>SUM(F6:F36)</f>
        <v>-16</v>
      </c>
      <c r="G38" s="27"/>
    </row>
    <row r="39" spans="1:7" x14ac:dyDescent="0.25">
      <c r="A39" s="6" t="s">
        <v>11</v>
      </c>
      <c r="B39" s="28">
        <f>COUNTIF(E6:E36,"&gt;0")</f>
        <v>21</v>
      </c>
    </row>
    <row r="40" spans="1:7" x14ac:dyDescent="0.25">
      <c r="A40" s="6" t="s">
        <v>16</v>
      </c>
      <c r="B40" s="28">
        <f>COUNTIF(C6:C36,"U")</f>
        <v>0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Übersicht!F20</f>
        <v>-16</v>
      </c>
    </row>
  </sheetData>
  <mergeCells count="1">
    <mergeCell ref="B2:D2"/>
  </mergeCells>
  <dataValidations count="1">
    <dataValidation type="list" allowBlank="1" sqref="C6:C35" xr:uid="{00000000-0002-0000-05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B2" sqref="B2:D2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65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22">
        <v>45839</v>
      </c>
      <c r="B6" s="23" t="s">
        <v>48</v>
      </c>
      <c r="C6" s="24" t="s">
        <v>85</v>
      </c>
      <c r="D6" s="25">
        <v>8</v>
      </c>
      <c r="E6" s="11">
        <f>IF(WEEKDAY(A6,2)&lt;=5,Übersicht!$B$4,0)</f>
        <v>8</v>
      </c>
      <c r="F6" s="11">
        <f t="shared" ref="F6:F36" si="0">IF(OR(C6="U",C6="K",C6="F",C6="G"),IF(D6="",0,D6),IF(D6="","",D6-E6))</f>
        <v>0</v>
      </c>
      <c r="G6" s="26"/>
    </row>
    <row r="7" spans="1:7" x14ac:dyDescent="0.25">
      <c r="A7" s="22">
        <v>45840</v>
      </c>
      <c r="B7" s="23" t="s">
        <v>49</v>
      </c>
      <c r="C7" s="24" t="s">
        <v>85</v>
      </c>
      <c r="D7" s="25">
        <v>8</v>
      </c>
      <c r="E7" s="11">
        <f>IF(WEEKDAY(A7,2)&lt;=5,Übersicht!$B$4,0)</f>
        <v>8</v>
      </c>
      <c r="F7" s="11">
        <f t="shared" si="0"/>
        <v>0</v>
      </c>
      <c r="G7" s="26"/>
    </row>
    <row r="8" spans="1:7" x14ac:dyDescent="0.25">
      <c r="A8" s="22">
        <v>45841</v>
      </c>
      <c r="B8" s="23" t="s">
        <v>50</v>
      </c>
      <c r="C8" s="24" t="s">
        <v>85</v>
      </c>
      <c r="D8" s="25">
        <v>8</v>
      </c>
      <c r="E8" s="11">
        <f>IF(WEEKDAY(A8,2)&lt;=5,Übersicht!$B$4,0)</f>
        <v>8</v>
      </c>
      <c r="F8" s="11">
        <f t="shared" si="0"/>
        <v>0</v>
      </c>
      <c r="G8" s="26"/>
    </row>
    <row r="9" spans="1:7" x14ac:dyDescent="0.25">
      <c r="A9" s="22">
        <v>45842</v>
      </c>
      <c r="B9" s="23" t="s">
        <v>51</v>
      </c>
      <c r="C9" s="24" t="s">
        <v>85</v>
      </c>
      <c r="D9" s="25">
        <v>8</v>
      </c>
      <c r="E9" s="11">
        <f>IF(WEEKDAY(A9,2)&lt;=5,Übersicht!$B$4,0)</f>
        <v>8</v>
      </c>
      <c r="F9" s="11">
        <f t="shared" si="0"/>
        <v>0</v>
      </c>
      <c r="G9" s="26"/>
    </row>
    <row r="10" spans="1:7" x14ac:dyDescent="0.25">
      <c r="A10" s="16">
        <v>45843</v>
      </c>
      <c r="B10" s="17" t="s">
        <v>45</v>
      </c>
      <c r="C10" s="18"/>
      <c r="D10" s="19"/>
      <c r="E10" s="20">
        <f>IF(WEEKDAY(A10,2)&lt;=5,Übersicht!$B$4,0)</f>
        <v>0</v>
      </c>
      <c r="F10" s="20" t="str">
        <f t="shared" si="0"/>
        <v/>
      </c>
      <c r="G10" s="21"/>
    </row>
    <row r="11" spans="1:7" x14ac:dyDescent="0.25">
      <c r="A11" s="16">
        <v>45844</v>
      </c>
      <c r="B11" s="17" t="s">
        <v>46</v>
      </c>
      <c r="C11" s="18"/>
      <c r="D11" s="19"/>
      <c r="E11" s="20">
        <f>IF(WEEKDAY(A11,2)&lt;=5,Übersicht!$B$4,0)</f>
        <v>0</v>
      </c>
      <c r="F11" s="20" t="str">
        <f t="shared" si="0"/>
        <v/>
      </c>
      <c r="G11" s="21"/>
    </row>
    <row r="12" spans="1:7" x14ac:dyDescent="0.25">
      <c r="A12" s="22">
        <v>45845</v>
      </c>
      <c r="B12" s="23" t="s">
        <v>47</v>
      </c>
      <c r="C12" s="24" t="s">
        <v>85</v>
      </c>
      <c r="D12" s="25">
        <v>8</v>
      </c>
      <c r="E12" s="11">
        <f>IF(WEEKDAY(A12,2)&lt;=5,Übersicht!$B$4,0)</f>
        <v>8</v>
      </c>
      <c r="F12" s="11">
        <f t="shared" si="0"/>
        <v>0</v>
      </c>
      <c r="G12" s="26"/>
    </row>
    <row r="13" spans="1:7" x14ac:dyDescent="0.25">
      <c r="A13" s="22">
        <v>45846</v>
      </c>
      <c r="B13" s="23" t="s">
        <v>48</v>
      </c>
      <c r="C13" s="24" t="s">
        <v>85</v>
      </c>
      <c r="D13" s="25">
        <v>8</v>
      </c>
      <c r="E13" s="11">
        <f>IF(WEEKDAY(A13,2)&lt;=5,Übersicht!$B$4,0)</f>
        <v>8</v>
      </c>
      <c r="F13" s="11">
        <f t="shared" si="0"/>
        <v>0</v>
      </c>
      <c r="G13" s="26"/>
    </row>
    <row r="14" spans="1:7" x14ac:dyDescent="0.25">
      <c r="A14" s="22">
        <v>45847</v>
      </c>
      <c r="B14" s="23" t="s">
        <v>49</v>
      </c>
      <c r="C14" s="24" t="s">
        <v>88</v>
      </c>
      <c r="D14" s="25"/>
      <c r="E14" s="11">
        <f>IF(WEEKDAY(A14,2)&lt;=5,Übersicht!$B$4,0)</f>
        <v>8</v>
      </c>
      <c r="F14" s="11" t="str">
        <f t="shared" si="0"/>
        <v/>
      </c>
      <c r="G14" s="26" t="s">
        <v>90</v>
      </c>
    </row>
    <row r="15" spans="1:7" x14ac:dyDescent="0.25">
      <c r="A15" s="22">
        <v>45848</v>
      </c>
      <c r="B15" s="23" t="s">
        <v>50</v>
      </c>
      <c r="C15" s="24" t="s">
        <v>88</v>
      </c>
      <c r="D15" s="25"/>
      <c r="E15" s="11">
        <f>IF(WEEKDAY(A15,2)&lt;=5,Übersicht!$B$4,0)</f>
        <v>8</v>
      </c>
      <c r="F15" s="11" t="str">
        <f t="shared" si="0"/>
        <v/>
      </c>
      <c r="G15" s="26" t="s">
        <v>90</v>
      </c>
    </row>
    <row r="16" spans="1:7" x14ac:dyDescent="0.25">
      <c r="A16" s="22">
        <v>45849</v>
      </c>
      <c r="B16" s="23" t="s">
        <v>51</v>
      </c>
      <c r="C16" s="24" t="s">
        <v>85</v>
      </c>
      <c r="D16" s="25">
        <v>8</v>
      </c>
      <c r="E16" s="11">
        <f>IF(WEEKDAY(A16,2)&lt;=5,Übersicht!$B$4,0)</f>
        <v>8</v>
      </c>
      <c r="F16" s="11">
        <f t="shared" si="0"/>
        <v>0</v>
      </c>
      <c r="G16" s="26"/>
    </row>
    <row r="17" spans="1:7" x14ac:dyDescent="0.25">
      <c r="A17" s="16">
        <v>45850</v>
      </c>
      <c r="B17" s="17" t="s">
        <v>45</v>
      </c>
      <c r="C17" s="18"/>
      <c r="D17" s="19"/>
      <c r="E17" s="20">
        <f>IF(WEEKDAY(A17,2)&lt;=5,Übersicht!$B$4,0)</f>
        <v>0</v>
      </c>
      <c r="F17" s="20" t="str">
        <f t="shared" si="0"/>
        <v/>
      </c>
      <c r="G17" s="21"/>
    </row>
    <row r="18" spans="1:7" x14ac:dyDescent="0.25">
      <c r="A18" s="16">
        <v>45851</v>
      </c>
      <c r="B18" s="17" t="s">
        <v>46</v>
      </c>
      <c r="C18" s="18"/>
      <c r="D18" s="19"/>
      <c r="E18" s="20">
        <f>IF(WEEKDAY(A18,2)&lt;=5,Übersicht!$B$4,0)</f>
        <v>0</v>
      </c>
      <c r="F18" s="20" t="str">
        <f t="shared" si="0"/>
        <v/>
      </c>
      <c r="G18" s="21"/>
    </row>
    <row r="19" spans="1:7" x14ac:dyDescent="0.25">
      <c r="A19" s="22">
        <v>45852</v>
      </c>
      <c r="B19" s="23" t="s">
        <v>47</v>
      </c>
      <c r="C19" s="24" t="s">
        <v>85</v>
      </c>
      <c r="D19" s="25">
        <v>8</v>
      </c>
      <c r="E19" s="11">
        <f>IF(WEEKDAY(A19,2)&lt;=5,Übersicht!$B$4,0)</f>
        <v>8</v>
      </c>
      <c r="F19" s="11">
        <f t="shared" si="0"/>
        <v>0</v>
      </c>
      <c r="G19" s="26"/>
    </row>
    <row r="20" spans="1:7" x14ac:dyDescent="0.25">
      <c r="A20" s="22">
        <v>45853</v>
      </c>
      <c r="B20" s="23" t="s">
        <v>48</v>
      </c>
      <c r="C20" s="24" t="s">
        <v>85</v>
      </c>
      <c r="D20" s="25">
        <v>8</v>
      </c>
      <c r="E20" s="11">
        <f>IF(WEEKDAY(A20,2)&lt;=5,Übersicht!$B$4,0)</f>
        <v>8</v>
      </c>
      <c r="F20" s="11">
        <f t="shared" si="0"/>
        <v>0</v>
      </c>
      <c r="G20" s="26"/>
    </row>
    <row r="21" spans="1:7" x14ac:dyDescent="0.25">
      <c r="A21" s="22">
        <v>45854</v>
      </c>
      <c r="B21" s="23" t="s">
        <v>49</v>
      </c>
      <c r="C21" s="24" t="s">
        <v>85</v>
      </c>
      <c r="D21" s="25">
        <v>8</v>
      </c>
      <c r="E21" s="11">
        <f>IF(WEEKDAY(A21,2)&lt;=5,Übersicht!$B$4,0)</f>
        <v>8</v>
      </c>
      <c r="F21" s="11">
        <f t="shared" si="0"/>
        <v>0</v>
      </c>
      <c r="G21" s="26"/>
    </row>
    <row r="22" spans="1:7" x14ac:dyDescent="0.25">
      <c r="A22" s="22">
        <v>45855</v>
      </c>
      <c r="B22" s="23" t="s">
        <v>50</v>
      </c>
      <c r="C22" s="24" t="s">
        <v>85</v>
      </c>
      <c r="D22" s="25">
        <v>8</v>
      </c>
      <c r="E22" s="11">
        <f>IF(WEEKDAY(A22,2)&lt;=5,Übersicht!$B$4,0)</f>
        <v>8</v>
      </c>
      <c r="F22" s="11">
        <f t="shared" si="0"/>
        <v>0</v>
      </c>
      <c r="G22" s="26"/>
    </row>
    <row r="23" spans="1:7" x14ac:dyDescent="0.25">
      <c r="A23" s="22">
        <v>45856</v>
      </c>
      <c r="B23" s="23" t="s">
        <v>51</v>
      </c>
      <c r="C23" s="24" t="s">
        <v>85</v>
      </c>
      <c r="D23" s="25">
        <v>8</v>
      </c>
      <c r="E23" s="11">
        <f>IF(WEEKDAY(A23,2)&lt;=5,Übersicht!$B$4,0)</f>
        <v>8</v>
      </c>
      <c r="F23" s="11">
        <f t="shared" si="0"/>
        <v>0</v>
      </c>
      <c r="G23" s="26"/>
    </row>
    <row r="24" spans="1:7" x14ac:dyDescent="0.25">
      <c r="A24" s="16">
        <v>45857</v>
      </c>
      <c r="B24" s="17" t="s">
        <v>45</v>
      </c>
      <c r="C24" s="18"/>
      <c r="D24" s="19"/>
      <c r="E24" s="20">
        <f>IF(WEEKDAY(A24,2)&lt;=5,Übersicht!$B$4,0)</f>
        <v>0</v>
      </c>
      <c r="F24" s="20" t="str">
        <f t="shared" si="0"/>
        <v/>
      </c>
      <c r="G24" s="21"/>
    </row>
    <row r="25" spans="1:7" x14ac:dyDescent="0.25">
      <c r="A25" s="16">
        <v>45858</v>
      </c>
      <c r="B25" s="17" t="s">
        <v>46</v>
      </c>
      <c r="C25" s="18"/>
      <c r="D25" s="19"/>
      <c r="E25" s="20">
        <f>IF(WEEKDAY(A25,2)&lt;=5,Übersicht!$B$4,0)</f>
        <v>0</v>
      </c>
      <c r="F25" s="20" t="str">
        <f t="shared" si="0"/>
        <v/>
      </c>
      <c r="G25" s="21"/>
    </row>
    <row r="26" spans="1:7" x14ac:dyDescent="0.25">
      <c r="A26" s="22">
        <v>45859</v>
      </c>
      <c r="B26" s="23" t="s">
        <v>47</v>
      </c>
      <c r="C26" s="24" t="s">
        <v>85</v>
      </c>
      <c r="D26" s="25">
        <v>8</v>
      </c>
      <c r="E26" s="11">
        <f>IF(WEEKDAY(A26,2)&lt;=5,Übersicht!$B$4,0)</f>
        <v>8</v>
      </c>
      <c r="F26" s="11">
        <f t="shared" si="0"/>
        <v>0</v>
      </c>
      <c r="G26" s="26"/>
    </row>
    <row r="27" spans="1:7" x14ac:dyDescent="0.25">
      <c r="A27" s="22">
        <v>45860</v>
      </c>
      <c r="B27" s="23" t="s">
        <v>48</v>
      </c>
      <c r="C27" s="24" t="s">
        <v>85</v>
      </c>
      <c r="D27" s="25">
        <v>8</v>
      </c>
      <c r="E27" s="11">
        <f>IF(WEEKDAY(A27,2)&lt;=5,Übersicht!$B$4,0)</f>
        <v>8</v>
      </c>
      <c r="F27" s="11">
        <f t="shared" si="0"/>
        <v>0</v>
      </c>
      <c r="G27" s="26"/>
    </row>
    <row r="28" spans="1:7" x14ac:dyDescent="0.25">
      <c r="A28" s="22">
        <v>45861</v>
      </c>
      <c r="B28" s="23" t="s">
        <v>49</v>
      </c>
      <c r="C28" s="24" t="s">
        <v>85</v>
      </c>
      <c r="D28" s="25">
        <v>8</v>
      </c>
      <c r="E28" s="11">
        <f>IF(WEEKDAY(A28,2)&lt;=5,Übersicht!$B$4,0)</f>
        <v>8</v>
      </c>
      <c r="F28" s="11">
        <f t="shared" si="0"/>
        <v>0</v>
      </c>
      <c r="G28" s="26"/>
    </row>
    <row r="29" spans="1:7" x14ac:dyDescent="0.25">
      <c r="A29" s="22">
        <v>45862</v>
      </c>
      <c r="B29" s="23" t="s">
        <v>50</v>
      </c>
      <c r="C29" s="24" t="s">
        <v>85</v>
      </c>
      <c r="D29" s="25">
        <v>8</v>
      </c>
      <c r="E29" s="11">
        <f>IF(WEEKDAY(A29,2)&lt;=5,Übersicht!$B$4,0)</f>
        <v>8</v>
      </c>
      <c r="F29" s="11">
        <f t="shared" si="0"/>
        <v>0</v>
      </c>
      <c r="G29" s="26"/>
    </row>
    <row r="30" spans="1:7" x14ac:dyDescent="0.25">
      <c r="A30" s="22">
        <v>45863</v>
      </c>
      <c r="B30" s="23" t="s">
        <v>51</v>
      </c>
      <c r="C30" s="24" t="s">
        <v>85</v>
      </c>
      <c r="D30" s="25">
        <v>8</v>
      </c>
      <c r="E30" s="11">
        <f>IF(WEEKDAY(A30,2)&lt;=5,Übersicht!$B$4,0)</f>
        <v>8</v>
      </c>
      <c r="F30" s="11">
        <f t="shared" si="0"/>
        <v>0</v>
      </c>
      <c r="G30" s="26"/>
    </row>
    <row r="31" spans="1:7" x14ac:dyDescent="0.25">
      <c r="A31" s="16">
        <v>45864</v>
      </c>
      <c r="B31" s="17" t="s">
        <v>45</v>
      </c>
      <c r="C31" s="18"/>
      <c r="D31" s="19"/>
      <c r="E31" s="20">
        <f>IF(WEEKDAY(A31,2)&lt;=5,Übersicht!$B$4,0)</f>
        <v>0</v>
      </c>
      <c r="F31" s="20" t="str">
        <f t="shared" si="0"/>
        <v/>
      </c>
      <c r="G31" s="21"/>
    </row>
    <row r="32" spans="1:7" x14ac:dyDescent="0.25">
      <c r="A32" s="16">
        <v>45865</v>
      </c>
      <c r="B32" s="17" t="s">
        <v>46</v>
      </c>
      <c r="C32" s="18"/>
      <c r="D32" s="19"/>
      <c r="E32" s="20">
        <f>IF(WEEKDAY(A32,2)&lt;=5,Übersicht!$B$4,0)</f>
        <v>0</v>
      </c>
      <c r="F32" s="20" t="str">
        <f t="shared" si="0"/>
        <v/>
      </c>
      <c r="G32" s="21"/>
    </row>
    <row r="33" spans="1:7" x14ac:dyDescent="0.25">
      <c r="A33" s="22">
        <v>45866</v>
      </c>
      <c r="B33" s="23" t="s">
        <v>47</v>
      </c>
      <c r="C33" s="24" t="s">
        <v>85</v>
      </c>
      <c r="D33" s="25">
        <v>8</v>
      </c>
      <c r="E33" s="11">
        <f>IF(WEEKDAY(A33,2)&lt;=5,Übersicht!$B$4,0)</f>
        <v>8</v>
      </c>
      <c r="F33" s="11">
        <f t="shared" si="0"/>
        <v>0</v>
      </c>
      <c r="G33" s="26"/>
    </row>
    <row r="34" spans="1:7" x14ac:dyDescent="0.25">
      <c r="A34" s="22">
        <v>45867</v>
      </c>
      <c r="B34" s="23" t="s">
        <v>48</v>
      </c>
      <c r="C34" s="24" t="s">
        <v>85</v>
      </c>
      <c r="D34" s="25">
        <v>8</v>
      </c>
      <c r="E34" s="11">
        <f>IF(WEEKDAY(A34,2)&lt;=5,Übersicht!$B$4,0)</f>
        <v>8</v>
      </c>
      <c r="F34" s="11">
        <f t="shared" si="0"/>
        <v>0</v>
      </c>
      <c r="G34" s="26"/>
    </row>
    <row r="35" spans="1:7" x14ac:dyDescent="0.25">
      <c r="A35" s="22">
        <v>45868</v>
      </c>
      <c r="B35" s="23" t="s">
        <v>49</v>
      </c>
      <c r="C35" s="24" t="s">
        <v>85</v>
      </c>
      <c r="D35" s="25">
        <v>8</v>
      </c>
      <c r="E35" s="11">
        <f>IF(WEEKDAY(A35,2)&lt;=5,Übersicht!$B$4,0)</f>
        <v>8</v>
      </c>
      <c r="F35" s="11">
        <f t="shared" si="0"/>
        <v>0</v>
      </c>
      <c r="G35" s="26"/>
    </row>
    <row r="36" spans="1:7" x14ac:dyDescent="0.25">
      <c r="A36" s="22">
        <v>45869</v>
      </c>
      <c r="B36" s="23" t="s">
        <v>50</v>
      </c>
      <c r="C36" s="24" t="s">
        <v>87</v>
      </c>
      <c r="D36" s="25"/>
      <c r="E36" s="11">
        <f>IF(WEEKDAY(A36,2)&lt;=5,Übersicht!$B$4,0)</f>
        <v>8</v>
      </c>
      <c r="F36" s="11">
        <f t="shared" si="0"/>
        <v>0</v>
      </c>
      <c r="G36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168</v>
      </c>
      <c r="E38" s="13">
        <f>SUM(E6:E36)</f>
        <v>184</v>
      </c>
      <c r="F38" s="13">
        <f>SUM(F6:F36)</f>
        <v>0</v>
      </c>
      <c r="G38" s="27"/>
    </row>
    <row r="39" spans="1:7" x14ac:dyDescent="0.25">
      <c r="A39" s="6" t="s">
        <v>11</v>
      </c>
      <c r="B39" s="28">
        <f>COUNTIF(E6:E36,"&gt;0")</f>
        <v>23</v>
      </c>
    </row>
    <row r="40" spans="1:7" x14ac:dyDescent="0.25">
      <c r="A40" s="6" t="s">
        <v>16</v>
      </c>
      <c r="B40" s="28">
        <f>COUNTIF(C6:C36,"U")</f>
        <v>1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Übersicht!F21</f>
        <v>-16</v>
      </c>
    </row>
  </sheetData>
  <mergeCells count="1">
    <mergeCell ref="B2:D2"/>
  </mergeCells>
  <dataValidations count="1">
    <dataValidation type="list" allowBlank="1" sqref="C6:C36" xr:uid="{00000000-0002-0000-06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B2" sqref="B2:D2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66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22">
        <v>45870</v>
      </c>
      <c r="B6" s="23" t="s">
        <v>51</v>
      </c>
      <c r="C6" s="24" t="s">
        <v>87</v>
      </c>
      <c r="D6" s="25"/>
      <c r="E6" s="11">
        <f>IF(WEEKDAY(A6,2)&lt;=5,Übersicht!$B$4,0)</f>
        <v>8</v>
      </c>
      <c r="F6" s="11">
        <f t="shared" ref="F6:F36" si="0">IF(OR(C6="U",C6="K",C6="F",C6="G"),IF(D6="",0,D6),IF(D6="","",D6-E6))</f>
        <v>0</v>
      </c>
      <c r="G6" s="26"/>
    </row>
    <row r="7" spans="1:7" x14ac:dyDescent="0.25">
      <c r="A7" s="16">
        <v>45871</v>
      </c>
      <c r="B7" s="17" t="s">
        <v>45</v>
      </c>
      <c r="C7" s="18"/>
      <c r="D7" s="19"/>
      <c r="E7" s="20">
        <f>IF(WEEKDAY(A7,2)&lt;=5,Übersicht!$B$4,0)</f>
        <v>0</v>
      </c>
      <c r="F7" s="20" t="str">
        <f t="shared" si="0"/>
        <v/>
      </c>
      <c r="G7" s="21"/>
    </row>
    <row r="8" spans="1:7" x14ac:dyDescent="0.25">
      <c r="A8" s="16">
        <v>45872</v>
      </c>
      <c r="B8" s="17" t="s">
        <v>46</v>
      </c>
      <c r="C8" s="18"/>
      <c r="D8" s="19"/>
      <c r="E8" s="20">
        <f>IF(WEEKDAY(A8,2)&lt;=5,Übersicht!$B$4,0)</f>
        <v>0</v>
      </c>
      <c r="F8" s="20" t="str">
        <f t="shared" si="0"/>
        <v/>
      </c>
      <c r="G8" s="21"/>
    </row>
    <row r="9" spans="1:7" x14ac:dyDescent="0.25">
      <c r="A9" s="22">
        <v>45873</v>
      </c>
      <c r="B9" s="23" t="s">
        <v>47</v>
      </c>
      <c r="C9" s="24" t="s">
        <v>87</v>
      </c>
      <c r="D9" s="25"/>
      <c r="E9" s="11">
        <f>IF(WEEKDAY(A9,2)&lt;=5,Übersicht!$B$4,0)</f>
        <v>8</v>
      </c>
      <c r="F9" s="11">
        <f t="shared" si="0"/>
        <v>0</v>
      </c>
      <c r="G9" s="26"/>
    </row>
    <row r="10" spans="1:7" x14ac:dyDescent="0.25">
      <c r="A10" s="22">
        <v>45874</v>
      </c>
      <c r="B10" s="23" t="s">
        <v>48</v>
      </c>
      <c r="C10" s="24" t="s">
        <v>87</v>
      </c>
      <c r="D10" s="25"/>
      <c r="E10" s="11">
        <f>IF(WEEKDAY(A10,2)&lt;=5,Übersicht!$B$4,0)</f>
        <v>8</v>
      </c>
      <c r="F10" s="11">
        <f t="shared" si="0"/>
        <v>0</v>
      </c>
      <c r="G10" s="26"/>
    </row>
    <row r="11" spans="1:7" x14ac:dyDescent="0.25">
      <c r="A11" s="22">
        <v>45875</v>
      </c>
      <c r="B11" s="23" t="s">
        <v>49</v>
      </c>
      <c r="C11" s="24" t="s">
        <v>87</v>
      </c>
      <c r="D11" s="25"/>
      <c r="E11" s="11">
        <f>IF(WEEKDAY(A11,2)&lt;=5,Übersicht!$B$4,0)</f>
        <v>8</v>
      </c>
      <c r="F11" s="11">
        <f t="shared" si="0"/>
        <v>0</v>
      </c>
      <c r="G11" s="26"/>
    </row>
    <row r="12" spans="1:7" x14ac:dyDescent="0.25">
      <c r="A12" s="22">
        <v>45876</v>
      </c>
      <c r="B12" s="23" t="s">
        <v>50</v>
      </c>
      <c r="C12" s="24" t="s">
        <v>87</v>
      </c>
      <c r="D12" s="25"/>
      <c r="E12" s="11">
        <f>IF(WEEKDAY(A12,2)&lt;=5,Übersicht!$B$4,0)</f>
        <v>8</v>
      </c>
      <c r="F12" s="11">
        <f t="shared" si="0"/>
        <v>0</v>
      </c>
      <c r="G12" s="26"/>
    </row>
    <row r="13" spans="1:7" x14ac:dyDescent="0.25">
      <c r="A13" s="22">
        <v>45877</v>
      </c>
      <c r="B13" s="23" t="s">
        <v>51</v>
      </c>
      <c r="C13" s="24" t="s">
        <v>87</v>
      </c>
      <c r="D13" s="25"/>
      <c r="E13" s="11">
        <f>IF(WEEKDAY(A13,2)&lt;=5,Übersicht!$B$4,0)</f>
        <v>8</v>
      </c>
      <c r="F13" s="11">
        <f t="shared" si="0"/>
        <v>0</v>
      </c>
      <c r="G13" s="26"/>
    </row>
    <row r="14" spans="1:7" x14ac:dyDescent="0.25">
      <c r="A14" s="16">
        <v>45878</v>
      </c>
      <c r="B14" s="17" t="s">
        <v>45</v>
      </c>
      <c r="C14" s="18"/>
      <c r="D14" s="19"/>
      <c r="E14" s="20">
        <f>IF(WEEKDAY(A14,2)&lt;=5,Übersicht!$B$4,0)</f>
        <v>0</v>
      </c>
      <c r="F14" s="20" t="str">
        <f t="shared" si="0"/>
        <v/>
      </c>
      <c r="G14" s="21"/>
    </row>
    <row r="15" spans="1:7" x14ac:dyDescent="0.25">
      <c r="A15" s="16">
        <v>45879</v>
      </c>
      <c r="B15" s="17" t="s">
        <v>46</v>
      </c>
      <c r="C15" s="18"/>
      <c r="D15" s="19"/>
      <c r="E15" s="20">
        <f>IF(WEEKDAY(A15,2)&lt;=5,Übersicht!$B$4,0)</f>
        <v>0</v>
      </c>
      <c r="F15" s="20" t="str">
        <f t="shared" si="0"/>
        <v/>
      </c>
      <c r="G15" s="21"/>
    </row>
    <row r="16" spans="1:7" x14ac:dyDescent="0.25">
      <c r="A16" s="22">
        <v>45880</v>
      </c>
      <c r="B16" s="23" t="s">
        <v>47</v>
      </c>
      <c r="C16" s="24" t="s">
        <v>87</v>
      </c>
      <c r="D16" s="25"/>
      <c r="E16" s="11">
        <f>IF(WEEKDAY(A16,2)&lt;=5,Übersicht!$B$4,0)</f>
        <v>8</v>
      </c>
      <c r="F16" s="11">
        <f t="shared" si="0"/>
        <v>0</v>
      </c>
      <c r="G16" s="26"/>
    </row>
    <row r="17" spans="1:7" x14ac:dyDescent="0.25">
      <c r="A17" s="22">
        <v>45881</v>
      </c>
      <c r="B17" s="23" t="s">
        <v>48</v>
      </c>
      <c r="C17" s="24" t="s">
        <v>87</v>
      </c>
      <c r="D17" s="25"/>
      <c r="E17" s="11">
        <f>IF(WEEKDAY(A17,2)&lt;=5,Übersicht!$B$4,0)</f>
        <v>8</v>
      </c>
      <c r="F17" s="11">
        <f t="shared" si="0"/>
        <v>0</v>
      </c>
      <c r="G17" s="26"/>
    </row>
    <row r="18" spans="1:7" x14ac:dyDescent="0.25">
      <c r="A18" s="22">
        <v>45882</v>
      </c>
      <c r="B18" s="23" t="s">
        <v>49</v>
      </c>
      <c r="C18" s="24" t="s">
        <v>87</v>
      </c>
      <c r="D18" s="25"/>
      <c r="E18" s="11">
        <f>IF(WEEKDAY(A18,2)&lt;=5,Übersicht!$B$4,0)</f>
        <v>8</v>
      </c>
      <c r="F18" s="11">
        <f t="shared" si="0"/>
        <v>0</v>
      </c>
      <c r="G18" s="26"/>
    </row>
    <row r="19" spans="1:7" x14ac:dyDescent="0.25">
      <c r="A19" s="22">
        <v>45883</v>
      </c>
      <c r="B19" s="23" t="s">
        <v>50</v>
      </c>
      <c r="C19" s="24" t="s">
        <v>85</v>
      </c>
      <c r="D19" s="25">
        <v>8</v>
      </c>
      <c r="E19" s="11">
        <f>IF(WEEKDAY(A19,2)&lt;=5,Übersicht!$B$4,0)</f>
        <v>8</v>
      </c>
      <c r="F19" s="11">
        <f t="shared" si="0"/>
        <v>0</v>
      </c>
      <c r="G19" s="26"/>
    </row>
    <row r="20" spans="1:7" x14ac:dyDescent="0.25">
      <c r="A20" s="22">
        <v>45884</v>
      </c>
      <c r="B20" s="23" t="s">
        <v>51</v>
      </c>
      <c r="C20" s="24" t="s">
        <v>85</v>
      </c>
      <c r="D20" s="25">
        <v>8</v>
      </c>
      <c r="E20" s="11">
        <f>IF(WEEKDAY(A20,2)&lt;=5,Übersicht!$B$4,0)</f>
        <v>8</v>
      </c>
      <c r="F20" s="11">
        <f t="shared" si="0"/>
        <v>0</v>
      </c>
      <c r="G20" s="26"/>
    </row>
    <row r="21" spans="1:7" x14ac:dyDescent="0.25">
      <c r="A21" s="16">
        <v>45885</v>
      </c>
      <c r="B21" s="17" t="s">
        <v>45</v>
      </c>
      <c r="C21" s="18"/>
      <c r="D21" s="19"/>
      <c r="E21" s="20">
        <f>IF(WEEKDAY(A21,2)&lt;=5,Übersicht!$B$4,0)</f>
        <v>0</v>
      </c>
      <c r="F21" s="20" t="str">
        <f t="shared" si="0"/>
        <v/>
      </c>
      <c r="G21" s="21"/>
    </row>
    <row r="22" spans="1:7" x14ac:dyDescent="0.25">
      <c r="A22" s="16">
        <v>45886</v>
      </c>
      <c r="B22" s="17" t="s">
        <v>46</v>
      </c>
      <c r="C22" s="18"/>
      <c r="D22" s="19"/>
      <c r="E22" s="20">
        <f>IF(WEEKDAY(A22,2)&lt;=5,Übersicht!$B$4,0)</f>
        <v>0</v>
      </c>
      <c r="F22" s="20" t="str">
        <f t="shared" si="0"/>
        <v/>
      </c>
      <c r="G22" s="21"/>
    </row>
    <row r="23" spans="1:7" x14ac:dyDescent="0.25">
      <c r="A23" s="22">
        <v>45887</v>
      </c>
      <c r="B23" s="23" t="s">
        <v>47</v>
      </c>
      <c r="C23" s="24" t="s">
        <v>85</v>
      </c>
      <c r="D23" s="25">
        <v>8</v>
      </c>
      <c r="E23" s="11">
        <f>IF(WEEKDAY(A23,2)&lt;=5,Übersicht!$B$4,0)</f>
        <v>8</v>
      </c>
      <c r="F23" s="11">
        <f t="shared" si="0"/>
        <v>0</v>
      </c>
      <c r="G23" s="26"/>
    </row>
    <row r="24" spans="1:7" x14ac:dyDescent="0.25">
      <c r="A24" s="22">
        <v>45888</v>
      </c>
      <c r="B24" s="23" t="s">
        <v>48</v>
      </c>
      <c r="C24" s="24" t="s">
        <v>85</v>
      </c>
      <c r="D24" s="25">
        <v>4</v>
      </c>
      <c r="E24" s="11">
        <f>IF(WEEKDAY(A24,2)&lt;=5,Übersicht!$B$4,0)</f>
        <v>8</v>
      </c>
      <c r="F24" s="11">
        <f t="shared" si="0"/>
        <v>-4</v>
      </c>
      <c r="G24" s="26" t="s">
        <v>91</v>
      </c>
    </row>
    <row r="25" spans="1:7" x14ac:dyDescent="0.25">
      <c r="A25" s="22">
        <v>45889</v>
      </c>
      <c r="B25" s="23" t="s">
        <v>49</v>
      </c>
      <c r="C25" s="24" t="s">
        <v>88</v>
      </c>
      <c r="D25" s="25"/>
      <c r="E25" s="11">
        <f>IF(WEEKDAY(A25,2)&lt;=5,Übersicht!$B$4,0)</f>
        <v>8</v>
      </c>
      <c r="F25" s="11" t="str">
        <f t="shared" si="0"/>
        <v/>
      </c>
      <c r="G25" s="26" t="s">
        <v>91</v>
      </c>
    </row>
    <row r="26" spans="1:7" x14ac:dyDescent="0.25">
      <c r="A26" s="22">
        <v>45890</v>
      </c>
      <c r="B26" s="23" t="s">
        <v>50</v>
      </c>
      <c r="C26" s="24" t="s">
        <v>88</v>
      </c>
      <c r="D26" s="25"/>
      <c r="E26" s="11">
        <f>IF(WEEKDAY(A26,2)&lt;=5,Übersicht!$B$4,0)</f>
        <v>8</v>
      </c>
      <c r="F26" s="11" t="str">
        <f t="shared" si="0"/>
        <v/>
      </c>
      <c r="G26" s="26" t="s">
        <v>91</v>
      </c>
    </row>
    <row r="27" spans="1:7" x14ac:dyDescent="0.25">
      <c r="A27" s="22">
        <v>45891</v>
      </c>
      <c r="B27" s="23" t="s">
        <v>51</v>
      </c>
      <c r="C27" s="24" t="s">
        <v>85</v>
      </c>
      <c r="D27" s="25">
        <v>8</v>
      </c>
      <c r="E27" s="11">
        <f>IF(WEEKDAY(A27,2)&lt;=5,Übersicht!$B$4,0)</f>
        <v>8</v>
      </c>
      <c r="F27" s="11">
        <f t="shared" si="0"/>
        <v>0</v>
      </c>
      <c r="G27" s="26"/>
    </row>
    <row r="28" spans="1:7" x14ac:dyDescent="0.25">
      <c r="A28" s="16">
        <v>45892</v>
      </c>
      <c r="B28" s="17" t="s">
        <v>45</v>
      </c>
      <c r="C28" s="18"/>
      <c r="D28" s="19"/>
      <c r="E28" s="20">
        <f>IF(WEEKDAY(A28,2)&lt;=5,Übersicht!$B$4,0)</f>
        <v>0</v>
      </c>
      <c r="F28" s="20" t="str">
        <f t="shared" si="0"/>
        <v/>
      </c>
      <c r="G28" s="21"/>
    </row>
    <row r="29" spans="1:7" x14ac:dyDescent="0.25">
      <c r="A29" s="16">
        <v>45893</v>
      </c>
      <c r="B29" s="17" t="s">
        <v>46</v>
      </c>
      <c r="C29" s="18"/>
      <c r="D29" s="19"/>
      <c r="E29" s="20">
        <f>IF(WEEKDAY(A29,2)&lt;=5,Übersicht!$B$4,0)</f>
        <v>0</v>
      </c>
      <c r="F29" s="20" t="str">
        <f t="shared" si="0"/>
        <v/>
      </c>
      <c r="G29" s="21"/>
    </row>
    <row r="30" spans="1:7" x14ac:dyDescent="0.25">
      <c r="A30" s="22">
        <v>45894</v>
      </c>
      <c r="B30" s="23" t="s">
        <v>47</v>
      </c>
      <c r="C30" s="24" t="s">
        <v>85</v>
      </c>
      <c r="D30" s="25">
        <v>8</v>
      </c>
      <c r="E30" s="11">
        <f>IF(WEEKDAY(A30,2)&lt;=5,Übersicht!$B$4,0)</f>
        <v>8</v>
      </c>
      <c r="F30" s="11">
        <f t="shared" si="0"/>
        <v>0</v>
      </c>
      <c r="G30" s="26"/>
    </row>
    <row r="31" spans="1:7" x14ac:dyDescent="0.25">
      <c r="A31" s="22">
        <v>45895</v>
      </c>
      <c r="B31" s="23" t="s">
        <v>48</v>
      </c>
      <c r="C31" s="24" t="s">
        <v>85</v>
      </c>
      <c r="D31" s="25">
        <v>8</v>
      </c>
      <c r="E31" s="11">
        <f>IF(WEEKDAY(A31,2)&lt;=5,Übersicht!$B$4,0)</f>
        <v>8</v>
      </c>
      <c r="F31" s="11">
        <f t="shared" si="0"/>
        <v>0</v>
      </c>
      <c r="G31" s="26"/>
    </row>
    <row r="32" spans="1:7" x14ac:dyDescent="0.25">
      <c r="A32" s="22">
        <v>45896</v>
      </c>
      <c r="B32" s="23" t="s">
        <v>49</v>
      </c>
      <c r="C32" s="24" t="s">
        <v>85</v>
      </c>
      <c r="D32" s="25">
        <v>8</v>
      </c>
      <c r="E32" s="11">
        <f>IF(WEEKDAY(A32,2)&lt;=5,Übersicht!$B$4,0)</f>
        <v>8</v>
      </c>
      <c r="F32" s="11">
        <f t="shared" si="0"/>
        <v>0</v>
      </c>
      <c r="G32" s="26"/>
    </row>
    <row r="33" spans="1:7" x14ac:dyDescent="0.25">
      <c r="A33" s="22">
        <v>45897</v>
      </c>
      <c r="B33" s="23" t="s">
        <v>50</v>
      </c>
      <c r="C33" s="24" t="s">
        <v>85</v>
      </c>
      <c r="D33" s="25">
        <v>8</v>
      </c>
      <c r="E33" s="11">
        <f>IF(WEEKDAY(A33,2)&lt;=5,Übersicht!$B$4,0)</f>
        <v>8</v>
      </c>
      <c r="F33" s="11">
        <f t="shared" si="0"/>
        <v>0</v>
      </c>
      <c r="G33" s="26"/>
    </row>
    <row r="34" spans="1:7" x14ac:dyDescent="0.25">
      <c r="A34" s="22">
        <v>45898</v>
      </c>
      <c r="B34" s="23" t="s">
        <v>51</v>
      </c>
      <c r="C34" s="24" t="s">
        <v>85</v>
      </c>
      <c r="D34" s="25">
        <v>8</v>
      </c>
      <c r="E34" s="11">
        <f>IF(WEEKDAY(A34,2)&lt;=5,Übersicht!$B$4,0)</f>
        <v>8</v>
      </c>
      <c r="F34" s="11">
        <f t="shared" si="0"/>
        <v>0</v>
      </c>
      <c r="G34" s="26"/>
    </row>
    <row r="35" spans="1:7" x14ac:dyDescent="0.25">
      <c r="A35" s="16">
        <v>45899</v>
      </c>
      <c r="B35" s="17" t="s">
        <v>45</v>
      </c>
      <c r="C35" s="18"/>
      <c r="D35" s="19"/>
      <c r="E35" s="20">
        <f>IF(WEEKDAY(A35,2)&lt;=5,Übersicht!$B$4,0)</f>
        <v>0</v>
      </c>
      <c r="F35" s="20" t="str">
        <f t="shared" si="0"/>
        <v/>
      </c>
      <c r="G35" s="21"/>
    </row>
    <row r="36" spans="1:7" x14ac:dyDescent="0.25">
      <c r="A36" s="16">
        <v>45900</v>
      </c>
      <c r="B36" s="17" t="s">
        <v>46</v>
      </c>
      <c r="C36" s="18"/>
      <c r="D36" s="19"/>
      <c r="E36" s="20">
        <f>IF(WEEKDAY(A36,2)&lt;=5,Übersicht!$B$4,0)</f>
        <v>0</v>
      </c>
      <c r="F36" s="20" t="str">
        <f t="shared" si="0"/>
        <v/>
      </c>
      <c r="G36" s="21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148</v>
      </c>
      <c r="E38" s="13">
        <f>SUM(E6:E36)</f>
        <v>168</v>
      </c>
      <c r="F38" s="13">
        <f>SUM(F6:F36)</f>
        <v>-4</v>
      </c>
      <c r="G38" s="27"/>
    </row>
    <row r="39" spans="1:7" x14ac:dyDescent="0.25">
      <c r="A39" s="6" t="s">
        <v>11</v>
      </c>
      <c r="B39" s="28">
        <f>COUNTIF(E6:E36,"&gt;0")</f>
        <v>21</v>
      </c>
    </row>
    <row r="40" spans="1:7" x14ac:dyDescent="0.25">
      <c r="A40" s="6" t="s">
        <v>16</v>
      </c>
      <c r="B40" s="28">
        <f>COUNTIF(C6:C36,"U")</f>
        <v>9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Übersicht!F22</f>
        <v>-20</v>
      </c>
    </row>
  </sheetData>
  <mergeCells count="1">
    <mergeCell ref="B2:D2"/>
  </mergeCells>
  <dataValidations count="1">
    <dataValidation type="list" allowBlank="1" sqref="C6:C36" xr:uid="{00000000-0002-0000-07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L21" sqref="L21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67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22">
        <v>45901</v>
      </c>
      <c r="B6" s="23" t="s">
        <v>47</v>
      </c>
      <c r="C6" s="24" t="s">
        <v>88</v>
      </c>
      <c r="D6" s="25"/>
      <c r="E6" s="11">
        <f>IF(WEEKDAY(A6,2)&lt;=5,Übersicht!$B$4,0)</f>
        <v>8</v>
      </c>
      <c r="F6" s="11" t="str">
        <f t="shared" ref="F6:F35" si="0">IF(OR(C6="U",C6="K",C6="F",C6="G"),IF(D6="",0,D6),IF(D6="","",D6-E6))</f>
        <v/>
      </c>
      <c r="G6" s="26" t="s">
        <v>92</v>
      </c>
    </row>
    <row r="7" spans="1:7" x14ac:dyDescent="0.25">
      <c r="A7" s="22">
        <v>45902</v>
      </c>
      <c r="B7" s="23" t="s">
        <v>48</v>
      </c>
      <c r="C7" s="24" t="s">
        <v>85</v>
      </c>
      <c r="D7" s="25">
        <v>2</v>
      </c>
      <c r="E7" s="11">
        <f>IF(WEEKDAY(A7,2)&lt;=5,Übersicht!$B$4,0)</f>
        <v>8</v>
      </c>
      <c r="F7" s="11">
        <f t="shared" si="0"/>
        <v>-6</v>
      </c>
      <c r="G7" s="26"/>
    </row>
    <row r="8" spans="1:7" x14ac:dyDescent="0.25">
      <c r="A8" s="22">
        <v>45903</v>
      </c>
      <c r="B8" s="23" t="s">
        <v>49</v>
      </c>
      <c r="C8" s="24" t="s">
        <v>88</v>
      </c>
      <c r="D8" s="25"/>
      <c r="E8" s="11">
        <f>IF(WEEKDAY(A8,2)&lt;=5,Übersicht!$B$4,0)</f>
        <v>8</v>
      </c>
      <c r="F8" s="11" t="str">
        <f t="shared" si="0"/>
        <v/>
      </c>
      <c r="G8" s="26" t="s">
        <v>92</v>
      </c>
    </row>
    <row r="9" spans="1:7" x14ac:dyDescent="0.25">
      <c r="A9" s="22">
        <v>45904</v>
      </c>
      <c r="B9" s="23" t="s">
        <v>50</v>
      </c>
      <c r="C9" s="24" t="s">
        <v>85</v>
      </c>
      <c r="D9" s="25">
        <v>6</v>
      </c>
      <c r="E9" s="11">
        <f>IF(WEEKDAY(A9,2)&lt;=5,Übersicht!$B$4,0)</f>
        <v>8</v>
      </c>
      <c r="F9" s="11">
        <f t="shared" si="0"/>
        <v>-2</v>
      </c>
      <c r="G9" s="26"/>
    </row>
    <row r="10" spans="1:7" x14ac:dyDescent="0.25">
      <c r="A10" s="22">
        <v>45905</v>
      </c>
      <c r="B10" s="23" t="s">
        <v>51</v>
      </c>
      <c r="C10" s="24" t="s">
        <v>88</v>
      </c>
      <c r="D10" s="25"/>
      <c r="E10" s="11">
        <f>IF(WEEKDAY(A10,2)&lt;=5,Übersicht!$B$4,0)</f>
        <v>8</v>
      </c>
      <c r="F10" s="11" t="str">
        <f t="shared" si="0"/>
        <v/>
      </c>
      <c r="G10" s="26" t="s">
        <v>92</v>
      </c>
    </row>
    <row r="11" spans="1:7" x14ac:dyDescent="0.25">
      <c r="A11" s="16">
        <v>45906</v>
      </c>
      <c r="B11" s="17" t="s">
        <v>45</v>
      </c>
      <c r="C11" s="18"/>
      <c r="D11" s="19"/>
      <c r="E11" s="20">
        <f>IF(WEEKDAY(A11,2)&lt;=5,Übersicht!$B$4,0)</f>
        <v>0</v>
      </c>
      <c r="F11" s="20" t="str">
        <f t="shared" si="0"/>
        <v/>
      </c>
      <c r="G11" s="21"/>
    </row>
    <row r="12" spans="1:7" x14ac:dyDescent="0.25">
      <c r="A12" s="16">
        <v>45907</v>
      </c>
      <c r="B12" s="17" t="s">
        <v>46</v>
      </c>
      <c r="C12" s="18"/>
      <c r="D12" s="19"/>
      <c r="E12" s="20">
        <f>IF(WEEKDAY(A12,2)&lt;=5,Übersicht!$B$4,0)</f>
        <v>0</v>
      </c>
      <c r="F12" s="20" t="str">
        <f t="shared" si="0"/>
        <v/>
      </c>
      <c r="G12" s="21"/>
    </row>
    <row r="13" spans="1:7" x14ac:dyDescent="0.25">
      <c r="A13" s="22">
        <v>45908</v>
      </c>
      <c r="B13" s="23" t="s">
        <v>47</v>
      </c>
      <c r="C13" s="24" t="s">
        <v>85</v>
      </c>
      <c r="D13" s="25">
        <v>8</v>
      </c>
      <c r="E13" s="11">
        <f>IF(WEEKDAY(A13,2)&lt;=5,Übersicht!$B$4,0)</f>
        <v>8</v>
      </c>
      <c r="F13" s="11">
        <f t="shared" si="0"/>
        <v>0</v>
      </c>
      <c r="G13" s="26"/>
    </row>
    <row r="14" spans="1:7" x14ac:dyDescent="0.25">
      <c r="A14" s="22">
        <v>45909</v>
      </c>
      <c r="B14" s="23" t="s">
        <v>48</v>
      </c>
      <c r="C14" s="24" t="s">
        <v>85</v>
      </c>
      <c r="D14" s="25">
        <v>8</v>
      </c>
      <c r="E14" s="11">
        <f>IF(WEEKDAY(A14,2)&lt;=5,Übersicht!$B$4,0)</f>
        <v>8</v>
      </c>
      <c r="F14" s="11">
        <f t="shared" si="0"/>
        <v>0</v>
      </c>
      <c r="G14" s="26"/>
    </row>
    <row r="15" spans="1:7" x14ac:dyDescent="0.25">
      <c r="A15" s="22">
        <v>45910</v>
      </c>
      <c r="B15" s="23" t="s">
        <v>49</v>
      </c>
      <c r="C15" s="24" t="s">
        <v>85</v>
      </c>
      <c r="D15" s="25">
        <v>8</v>
      </c>
      <c r="E15" s="11">
        <f>IF(WEEKDAY(A15,2)&lt;=5,Übersicht!$B$4,0)</f>
        <v>8</v>
      </c>
      <c r="F15" s="11">
        <f t="shared" si="0"/>
        <v>0</v>
      </c>
      <c r="G15" s="26"/>
    </row>
    <row r="16" spans="1:7" x14ac:dyDescent="0.25">
      <c r="A16" s="22">
        <v>45911</v>
      </c>
      <c r="B16" s="23" t="s">
        <v>50</v>
      </c>
      <c r="C16" s="24" t="s">
        <v>85</v>
      </c>
      <c r="D16" s="25">
        <v>3</v>
      </c>
      <c r="E16" s="11">
        <f>IF(WEEKDAY(A16,2)&lt;=5,Übersicht!$B$4,0)</f>
        <v>8</v>
      </c>
      <c r="F16" s="11">
        <f t="shared" si="0"/>
        <v>-5</v>
      </c>
      <c r="G16" s="26"/>
    </row>
    <row r="17" spans="1:7" x14ac:dyDescent="0.25">
      <c r="A17" s="22">
        <v>45912</v>
      </c>
      <c r="B17" s="23" t="s">
        <v>51</v>
      </c>
      <c r="C17" s="24" t="s">
        <v>85</v>
      </c>
      <c r="D17" s="25">
        <v>6</v>
      </c>
      <c r="E17" s="11">
        <f>IF(WEEKDAY(A17,2)&lt;=5,Übersicht!$B$4,0)</f>
        <v>8</v>
      </c>
      <c r="F17" s="11">
        <f t="shared" si="0"/>
        <v>-2</v>
      </c>
      <c r="G17" s="26"/>
    </row>
    <row r="18" spans="1:7" x14ac:dyDescent="0.25">
      <c r="A18" s="16">
        <v>45913</v>
      </c>
      <c r="B18" s="17" t="s">
        <v>45</v>
      </c>
      <c r="C18" s="18"/>
      <c r="D18" s="19"/>
      <c r="E18" s="20">
        <f>IF(WEEKDAY(A18,2)&lt;=5,Übersicht!$B$4,0)</f>
        <v>0</v>
      </c>
      <c r="F18" s="20" t="str">
        <f t="shared" si="0"/>
        <v/>
      </c>
      <c r="G18" s="21"/>
    </row>
    <row r="19" spans="1:7" x14ac:dyDescent="0.25">
      <c r="A19" s="16">
        <v>45914</v>
      </c>
      <c r="B19" s="17" t="s">
        <v>46</v>
      </c>
      <c r="C19" s="18"/>
      <c r="D19" s="19"/>
      <c r="E19" s="20">
        <f>IF(WEEKDAY(A19,2)&lt;=5,Übersicht!$B$4,0)</f>
        <v>0</v>
      </c>
      <c r="F19" s="20" t="str">
        <f t="shared" si="0"/>
        <v/>
      </c>
      <c r="G19" s="21"/>
    </row>
    <row r="20" spans="1:7" x14ac:dyDescent="0.25">
      <c r="A20" s="22">
        <v>45915</v>
      </c>
      <c r="B20" s="23" t="s">
        <v>47</v>
      </c>
      <c r="C20" s="24" t="s">
        <v>88</v>
      </c>
      <c r="D20" s="25"/>
      <c r="E20" s="11">
        <f>IF(WEEKDAY(A20,2)&lt;=5,Übersicht!$B$4,0)</f>
        <v>8</v>
      </c>
      <c r="F20" s="11" t="str">
        <f t="shared" si="0"/>
        <v/>
      </c>
      <c r="G20" s="26" t="s">
        <v>92</v>
      </c>
    </row>
    <row r="21" spans="1:7" x14ac:dyDescent="0.25">
      <c r="A21" s="22">
        <v>45916</v>
      </c>
      <c r="B21" s="23" t="s">
        <v>48</v>
      </c>
      <c r="C21" s="24" t="s">
        <v>85</v>
      </c>
      <c r="D21" s="25">
        <v>8</v>
      </c>
      <c r="E21" s="11">
        <f>IF(WEEKDAY(A21,2)&lt;=5,Übersicht!$B$4,0)</f>
        <v>8</v>
      </c>
      <c r="F21" s="11">
        <f t="shared" si="0"/>
        <v>0</v>
      </c>
      <c r="G21" s="26"/>
    </row>
    <row r="22" spans="1:7" x14ac:dyDescent="0.25">
      <c r="A22" s="22">
        <v>45917</v>
      </c>
      <c r="B22" s="23" t="s">
        <v>49</v>
      </c>
      <c r="C22" s="24" t="s">
        <v>85</v>
      </c>
      <c r="D22" s="25">
        <v>8</v>
      </c>
      <c r="E22" s="11">
        <f>IF(WEEKDAY(A22,2)&lt;=5,Übersicht!$B$4,0)</f>
        <v>8</v>
      </c>
      <c r="F22" s="11">
        <f t="shared" si="0"/>
        <v>0</v>
      </c>
      <c r="G22" s="26"/>
    </row>
    <row r="23" spans="1:7" x14ac:dyDescent="0.25">
      <c r="A23" s="22">
        <v>45918</v>
      </c>
      <c r="B23" s="23" t="s">
        <v>50</v>
      </c>
      <c r="C23" s="24" t="s">
        <v>88</v>
      </c>
      <c r="D23" s="25"/>
      <c r="E23" s="11">
        <f>IF(WEEKDAY(A23,2)&lt;=5,Übersicht!$B$4,0)</f>
        <v>8</v>
      </c>
      <c r="F23" s="11" t="str">
        <f t="shared" si="0"/>
        <v/>
      </c>
      <c r="G23" s="26" t="s">
        <v>92</v>
      </c>
    </row>
    <row r="24" spans="1:7" x14ac:dyDescent="0.25">
      <c r="A24" s="22">
        <v>45919</v>
      </c>
      <c r="B24" s="23" t="s">
        <v>51</v>
      </c>
      <c r="C24" s="24" t="s">
        <v>88</v>
      </c>
      <c r="D24" s="25"/>
      <c r="E24" s="11">
        <f>IF(WEEKDAY(A24,2)&lt;=5,Übersicht!$B$4,0)</f>
        <v>8</v>
      </c>
      <c r="F24" s="11" t="str">
        <f t="shared" si="0"/>
        <v/>
      </c>
      <c r="G24" s="26" t="s">
        <v>92</v>
      </c>
    </row>
    <row r="25" spans="1:7" x14ac:dyDescent="0.25">
      <c r="A25" s="16">
        <v>45920</v>
      </c>
      <c r="B25" s="17" t="s">
        <v>45</v>
      </c>
      <c r="C25" s="18"/>
      <c r="D25" s="19"/>
      <c r="E25" s="20">
        <f>IF(WEEKDAY(A25,2)&lt;=5,Übersicht!$B$4,0)</f>
        <v>0</v>
      </c>
      <c r="F25" s="20" t="str">
        <f t="shared" si="0"/>
        <v/>
      </c>
      <c r="G25" s="21"/>
    </row>
    <row r="26" spans="1:7" x14ac:dyDescent="0.25">
      <c r="A26" s="16">
        <v>45921</v>
      </c>
      <c r="B26" s="17" t="s">
        <v>46</v>
      </c>
      <c r="C26" s="18"/>
      <c r="D26" s="19"/>
      <c r="E26" s="20">
        <f>IF(WEEKDAY(A26,2)&lt;=5,Übersicht!$B$4,0)</f>
        <v>0</v>
      </c>
      <c r="F26" s="20" t="str">
        <f t="shared" si="0"/>
        <v/>
      </c>
      <c r="G26" s="21"/>
    </row>
    <row r="27" spans="1:7" x14ac:dyDescent="0.25">
      <c r="A27" s="22">
        <v>45922</v>
      </c>
      <c r="B27" s="23" t="s">
        <v>47</v>
      </c>
      <c r="C27" s="24" t="s">
        <v>88</v>
      </c>
      <c r="D27" s="25"/>
      <c r="E27" s="11">
        <f>IF(WEEKDAY(A27,2)&lt;=5,Übersicht!$B$4,0)</f>
        <v>8</v>
      </c>
      <c r="F27" s="11" t="str">
        <f t="shared" si="0"/>
        <v/>
      </c>
      <c r="G27" s="26" t="s">
        <v>92</v>
      </c>
    </row>
    <row r="28" spans="1:7" x14ac:dyDescent="0.25">
      <c r="A28" s="22">
        <v>45923</v>
      </c>
      <c r="B28" s="23" t="s">
        <v>48</v>
      </c>
      <c r="C28" s="24" t="s">
        <v>85</v>
      </c>
      <c r="D28" s="25">
        <v>6</v>
      </c>
      <c r="E28" s="11">
        <f>IF(WEEKDAY(A28,2)&lt;=5,Übersicht!$B$4,0)</f>
        <v>8</v>
      </c>
      <c r="F28" s="11">
        <f t="shared" si="0"/>
        <v>-2</v>
      </c>
      <c r="G28" s="26"/>
    </row>
    <row r="29" spans="1:7" x14ac:dyDescent="0.25">
      <c r="A29" s="22">
        <v>45924</v>
      </c>
      <c r="B29" s="23" t="s">
        <v>49</v>
      </c>
      <c r="C29" s="24" t="s">
        <v>88</v>
      </c>
      <c r="D29" s="25"/>
      <c r="E29" s="11">
        <f>IF(WEEKDAY(A29,2)&lt;=5,Übersicht!$B$4,0)</f>
        <v>8</v>
      </c>
      <c r="F29" s="11" t="str">
        <f t="shared" si="0"/>
        <v/>
      </c>
      <c r="G29" s="26" t="s">
        <v>92</v>
      </c>
    </row>
    <row r="30" spans="1:7" x14ac:dyDescent="0.25">
      <c r="A30" s="22">
        <v>45925</v>
      </c>
      <c r="B30" s="23" t="s">
        <v>50</v>
      </c>
      <c r="C30" s="24" t="s">
        <v>88</v>
      </c>
      <c r="D30" s="25"/>
      <c r="E30" s="11">
        <f>IF(WEEKDAY(A30,2)&lt;=5,Übersicht!$B$4,0)</f>
        <v>8</v>
      </c>
      <c r="F30" s="11" t="str">
        <f t="shared" si="0"/>
        <v/>
      </c>
      <c r="G30" s="26" t="s">
        <v>92</v>
      </c>
    </row>
    <row r="31" spans="1:7" x14ac:dyDescent="0.25">
      <c r="A31" s="22">
        <v>45926</v>
      </c>
      <c r="B31" s="23" t="s">
        <v>51</v>
      </c>
      <c r="C31" s="24" t="s">
        <v>88</v>
      </c>
      <c r="D31" s="25"/>
      <c r="E31" s="11">
        <f>IF(WEEKDAY(A31,2)&lt;=5,Übersicht!$B$4,0)</f>
        <v>8</v>
      </c>
      <c r="F31" s="11" t="str">
        <f t="shared" si="0"/>
        <v/>
      </c>
      <c r="G31" s="26" t="s">
        <v>92</v>
      </c>
    </row>
    <row r="32" spans="1:7" x14ac:dyDescent="0.25">
      <c r="A32" s="16">
        <v>45927</v>
      </c>
      <c r="B32" s="17" t="s">
        <v>45</v>
      </c>
      <c r="C32" s="18"/>
      <c r="D32" s="19"/>
      <c r="E32" s="20">
        <f>IF(WEEKDAY(A32,2)&lt;=5,Übersicht!$B$4,0)</f>
        <v>0</v>
      </c>
      <c r="F32" s="20" t="str">
        <f t="shared" si="0"/>
        <v/>
      </c>
      <c r="G32" s="21"/>
    </row>
    <row r="33" spans="1:7" x14ac:dyDescent="0.25">
      <c r="A33" s="16">
        <v>45928</v>
      </c>
      <c r="B33" s="17" t="s">
        <v>46</v>
      </c>
      <c r="C33" s="18"/>
      <c r="D33" s="19"/>
      <c r="E33" s="20">
        <f>IF(WEEKDAY(A33,2)&lt;=5,Übersicht!$B$4,0)</f>
        <v>0</v>
      </c>
      <c r="F33" s="20" t="str">
        <f t="shared" si="0"/>
        <v/>
      </c>
      <c r="G33" s="21"/>
    </row>
    <row r="34" spans="1:7" x14ac:dyDescent="0.25">
      <c r="A34" s="22">
        <v>45929</v>
      </c>
      <c r="B34" s="23" t="s">
        <v>47</v>
      </c>
      <c r="C34" s="24" t="s">
        <v>88</v>
      </c>
      <c r="D34" s="25"/>
      <c r="E34" s="11">
        <f>IF(WEEKDAY(A34,2)&lt;=5,Übersicht!$B$4,0)</f>
        <v>8</v>
      </c>
      <c r="F34" s="11" t="str">
        <f t="shared" si="0"/>
        <v/>
      </c>
      <c r="G34" s="26" t="s">
        <v>92</v>
      </c>
    </row>
    <row r="35" spans="1:7" x14ac:dyDescent="0.25">
      <c r="A35" s="22">
        <v>45930</v>
      </c>
      <c r="B35" s="23" t="s">
        <v>48</v>
      </c>
      <c r="C35" s="24" t="s">
        <v>85</v>
      </c>
      <c r="D35" s="25">
        <v>8</v>
      </c>
      <c r="E35" s="11">
        <f>IF(WEEKDAY(A35,2)&lt;=5,Übersicht!$B$4,0)</f>
        <v>8</v>
      </c>
      <c r="F35" s="11">
        <f t="shared" si="0"/>
        <v>0</v>
      </c>
      <c r="G35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71</v>
      </c>
      <c r="E38" s="13">
        <f>SUM(E6:E36)</f>
        <v>176</v>
      </c>
      <c r="F38" s="13">
        <f>SUM(F6:F36)</f>
        <v>-17</v>
      </c>
      <c r="G38" s="27"/>
    </row>
    <row r="39" spans="1:7" x14ac:dyDescent="0.25">
      <c r="A39" s="6" t="s">
        <v>11</v>
      </c>
      <c r="B39" s="28">
        <f>COUNTIF(E6:E36,"&gt;0")</f>
        <v>22</v>
      </c>
    </row>
    <row r="40" spans="1:7" x14ac:dyDescent="0.25">
      <c r="A40" s="6" t="s">
        <v>16</v>
      </c>
      <c r="B40" s="28">
        <f>COUNTIF(C6:C36,"U")</f>
        <v>0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Übersicht!F23</f>
        <v>-37</v>
      </c>
    </row>
  </sheetData>
  <mergeCells count="1">
    <mergeCell ref="B2:D2"/>
  </mergeCells>
  <dataValidations count="1">
    <dataValidation type="list" allowBlank="1" sqref="C6:C35" xr:uid="{00000000-0002-0000-08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G34" sqref="G34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68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22">
        <v>45931</v>
      </c>
      <c r="B6" s="23" t="s">
        <v>49</v>
      </c>
      <c r="C6" s="24" t="s">
        <v>88</v>
      </c>
      <c r="D6" s="25"/>
      <c r="E6" s="11">
        <f>IF(WEEKDAY(A6,2)&lt;=5,Übersicht!$B$4,0)</f>
        <v>8</v>
      </c>
      <c r="F6" s="11" t="str">
        <f t="shared" ref="F6:F36" si="0">IF(OR(C6="U",C6="K",C6="F",C6="G"),IF(D6="",0,D6),IF(D6="","",D6-E6))</f>
        <v/>
      </c>
      <c r="G6" s="26" t="s">
        <v>92</v>
      </c>
    </row>
    <row r="7" spans="1:7" x14ac:dyDescent="0.25">
      <c r="A7" s="22">
        <v>45932</v>
      </c>
      <c r="B7" s="23" t="s">
        <v>50</v>
      </c>
      <c r="C7" s="24" t="s">
        <v>88</v>
      </c>
      <c r="D7" s="25"/>
      <c r="E7" s="11">
        <f>IF(WEEKDAY(A7,2)&lt;=5,Übersicht!$B$4,0)</f>
        <v>8</v>
      </c>
      <c r="F7" s="11" t="str">
        <f t="shared" si="0"/>
        <v/>
      </c>
      <c r="G7" s="26" t="s">
        <v>92</v>
      </c>
    </row>
    <row r="8" spans="1:7" x14ac:dyDescent="0.25">
      <c r="A8" s="22">
        <v>45933</v>
      </c>
      <c r="B8" s="23" t="s">
        <v>51</v>
      </c>
      <c r="C8" s="24" t="s">
        <v>56</v>
      </c>
      <c r="D8" s="25"/>
      <c r="E8" s="11">
        <f>IF(WEEKDAY(A8,2)&lt;=5,Übersicht!$B$4,0)</f>
        <v>8</v>
      </c>
      <c r="F8" s="11">
        <f t="shared" si="0"/>
        <v>0</v>
      </c>
      <c r="G8" s="26" t="s">
        <v>69</v>
      </c>
    </row>
    <row r="9" spans="1:7" x14ac:dyDescent="0.25">
      <c r="A9" s="16">
        <v>45934</v>
      </c>
      <c r="B9" s="17" t="s">
        <v>45</v>
      </c>
      <c r="C9" s="18"/>
      <c r="D9" s="19"/>
      <c r="E9" s="20">
        <f>IF(WEEKDAY(A9,2)&lt;=5,Übersicht!$B$4,0)</f>
        <v>0</v>
      </c>
      <c r="F9" s="20" t="str">
        <f t="shared" si="0"/>
        <v/>
      </c>
      <c r="G9" s="21"/>
    </row>
    <row r="10" spans="1:7" x14ac:dyDescent="0.25">
      <c r="A10" s="16">
        <v>45935</v>
      </c>
      <c r="B10" s="17" t="s">
        <v>46</v>
      </c>
      <c r="C10" s="18"/>
      <c r="D10" s="19"/>
      <c r="E10" s="20">
        <f>IF(WEEKDAY(A10,2)&lt;=5,Übersicht!$B$4,0)</f>
        <v>0</v>
      </c>
      <c r="F10" s="20" t="str">
        <f t="shared" si="0"/>
        <v/>
      </c>
      <c r="G10" s="21"/>
    </row>
    <row r="11" spans="1:7" x14ac:dyDescent="0.25">
      <c r="A11" s="22">
        <v>45936</v>
      </c>
      <c r="B11" s="23" t="s">
        <v>47</v>
      </c>
      <c r="C11" s="24" t="s">
        <v>88</v>
      </c>
      <c r="D11" s="25"/>
      <c r="E11" s="11">
        <f>IF(WEEKDAY(A11,2)&lt;=5,Übersicht!$B$4,0)</f>
        <v>8</v>
      </c>
      <c r="F11" s="11" t="str">
        <f t="shared" si="0"/>
        <v/>
      </c>
      <c r="G11" s="26" t="s">
        <v>92</v>
      </c>
    </row>
    <row r="12" spans="1:7" x14ac:dyDescent="0.25">
      <c r="A12" s="22">
        <v>45937</v>
      </c>
      <c r="B12" s="23" t="s">
        <v>48</v>
      </c>
      <c r="C12" s="24" t="s">
        <v>88</v>
      </c>
      <c r="D12" s="25"/>
      <c r="E12" s="11">
        <f>IF(WEEKDAY(A12,2)&lt;=5,Übersicht!$B$4,0)</f>
        <v>8</v>
      </c>
      <c r="F12" s="11" t="str">
        <f t="shared" si="0"/>
        <v/>
      </c>
      <c r="G12" s="26" t="s">
        <v>92</v>
      </c>
    </row>
    <row r="13" spans="1:7" x14ac:dyDescent="0.25">
      <c r="A13" s="22">
        <v>45938</v>
      </c>
      <c r="B13" s="23" t="s">
        <v>49</v>
      </c>
      <c r="C13" s="24" t="s">
        <v>88</v>
      </c>
      <c r="D13" s="25"/>
      <c r="E13" s="11">
        <f>IF(WEEKDAY(A13,2)&lt;=5,Übersicht!$B$4,0)</f>
        <v>8</v>
      </c>
      <c r="F13" s="11" t="str">
        <f t="shared" si="0"/>
        <v/>
      </c>
      <c r="G13" s="26" t="s">
        <v>92</v>
      </c>
    </row>
    <row r="14" spans="1:7" x14ac:dyDescent="0.25">
      <c r="A14" s="22">
        <v>45939</v>
      </c>
      <c r="B14" s="23" t="s">
        <v>50</v>
      </c>
      <c r="C14" s="24" t="s">
        <v>85</v>
      </c>
      <c r="D14" s="25">
        <v>8</v>
      </c>
      <c r="E14" s="11">
        <f>IF(WEEKDAY(A14,2)&lt;=5,Übersicht!$B$4,0)</f>
        <v>8</v>
      </c>
      <c r="F14" s="11">
        <f t="shared" si="0"/>
        <v>0</v>
      </c>
      <c r="G14" s="26"/>
    </row>
    <row r="15" spans="1:7" x14ac:dyDescent="0.25">
      <c r="A15" s="22">
        <v>45940</v>
      </c>
      <c r="B15" s="23" t="s">
        <v>51</v>
      </c>
      <c r="C15" s="24" t="s">
        <v>85</v>
      </c>
      <c r="D15" s="25">
        <v>6</v>
      </c>
      <c r="E15" s="11">
        <f>IF(WEEKDAY(A15,2)&lt;=5,Übersicht!$B$4,0)</f>
        <v>8</v>
      </c>
      <c r="F15" s="11">
        <f t="shared" si="0"/>
        <v>-2</v>
      </c>
      <c r="G15" s="26"/>
    </row>
    <row r="16" spans="1:7" x14ac:dyDescent="0.25">
      <c r="A16" s="16">
        <v>45941</v>
      </c>
      <c r="B16" s="17" t="s">
        <v>45</v>
      </c>
      <c r="C16" s="18"/>
      <c r="D16" s="19"/>
      <c r="E16" s="20">
        <f>IF(WEEKDAY(A16,2)&lt;=5,Übersicht!$B$4,0)</f>
        <v>0</v>
      </c>
      <c r="F16" s="20" t="str">
        <f t="shared" si="0"/>
        <v/>
      </c>
      <c r="G16" s="21"/>
    </row>
    <row r="17" spans="1:7" x14ac:dyDescent="0.25">
      <c r="A17" s="16">
        <v>45942</v>
      </c>
      <c r="B17" s="17" t="s">
        <v>46</v>
      </c>
      <c r="C17" s="18"/>
      <c r="D17" s="19"/>
      <c r="E17" s="20">
        <f>IF(WEEKDAY(A17,2)&lt;=5,Übersicht!$B$4,0)</f>
        <v>0</v>
      </c>
      <c r="F17" s="20" t="str">
        <f t="shared" si="0"/>
        <v/>
      </c>
      <c r="G17" s="21"/>
    </row>
    <row r="18" spans="1:7" x14ac:dyDescent="0.25">
      <c r="A18" s="22">
        <v>45943</v>
      </c>
      <c r="B18" s="23" t="s">
        <v>47</v>
      </c>
      <c r="C18" s="24" t="s">
        <v>88</v>
      </c>
      <c r="D18" s="25"/>
      <c r="E18" s="11">
        <f>IF(WEEKDAY(A18,2)&lt;=5,Übersicht!$B$4,0)</f>
        <v>8</v>
      </c>
      <c r="F18" s="11" t="str">
        <f t="shared" si="0"/>
        <v/>
      </c>
      <c r="G18" s="26" t="s">
        <v>92</v>
      </c>
    </row>
    <row r="19" spans="1:7" x14ac:dyDescent="0.25">
      <c r="A19" s="22">
        <v>45944</v>
      </c>
      <c r="B19" s="23" t="s">
        <v>48</v>
      </c>
      <c r="C19" s="24" t="s">
        <v>85</v>
      </c>
      <c r="D19" s="25">
        <v>8</v>
      </c>
      <c r="E19" s="11">
        <f>IF(WEEKDAY(A19,2)&lt;=5,Übersicht!$B$4,0)</f>
        <v>8</v>
      </c>
      <c r="F19" s="11">
        <f t="shared" si="0"/>
        <v>0</v>
      </c>
      <c r="G19" s="26"/>
    </row>
    <row r="20" spans="1:7" x14ac:dyDescent="0.25">
      <c r="A20" s="22">
        <v>45945</v>
      </c>
      <c r="B20" s="23" t="s">
        <v>49</v>
      </c>
      <c r="C20" s="24" t="s">
        <v>85</v>
      </c>
      <c r="D20" s="25">
        <v>4</v>
      </c>
      <c r="E20" s="11">
        <f>IF(WEEKDAY(A20,2)&lt;=5,Übersicht!$B$4,0)</f>
        <v>8</v>
      </c>
      <c r="F20" s="11">
        <f t="shared" si="0"/>
        <v>-4</v>
      </c>
      <c r="G20" s="26"/>
    </row>
    <row r="21" spans="1:7" x14ac:dyDescent="0.25">
      <c r="A21" s="22">
        <v>45946</v>
      </c>
      <c r="B21" s="23" t="s">
        <v>50</v>
      </c>
      <c r="C21" s="24" t="s">
        <v>88</v>
      </c>
      <c r="D21" s="25"/>
      <c r="E21" s="11">
        <f>IF(WEEKDAY(A21,2)&lt;=5,Übersicht!$B$4,0)</f>
        <v>8</v>
      </c>
      <c r="F21" s="11" t="str">
        <f t="shared" si="0"/>
        <v/>
      </c>
      <c r="G21" s="26" t="s">
        <v>92</v>
      </c>
    </row>
    <row r="22" spans="1:7" x14ac:dyDescent="0.25">
      <c r="A22" s="22">
        <v>45947</v>
      </c>
      <c r="B22" s="23" t="s">
        <v>51</v>
      </c>
      <c r="C22" s="24" t="s">
        <v>88</v>
      </c>
      <c r="D22" s="25"/>
      <c r="E22" s="11">
        <f>IF(WEEKDAY(A22,2)&lt;=5,Übersicht!$B$4,0)</f>
        <v>8</v>
      </c>
      <c r="F22" s="11" t="str">
        <f t="shared" si="0"/>
        <v/>
      </c>
      <c r="G22" s="26" t="s">
        <v>92</v>
      </c>
    </row>
    <row r="23" spans="1:7" x14ac:dyDescent="0.25">
      <c r="A23" s="16">
        <v>45948</v>
      </c>
      <c r="B23" s="17" t="s">
        <v>45</v>
      </c>
      <c r="C23" s="18"/>
      <c r="D23" s="19"/>
      <c r="E23" s="20">
        <f>IF(WEEKDAY(A23,2)&lt;=5,Übersicht!$B$4,0)</f>
        <v>0</v>
      </c>
      <c r="F23" s="20" t="str">
        <f t="shared" si="0"/>
        <v/>
      </c>
      <c r="G23" s="21"/>
    </row>
    <row r="24" spans="1:7" x14ac:dyDescent="0.25">
      <c r="A24" s="16">
        <v>45949</v>
      </c>
      <c r="B24" s="17" t="s">
        <v>46</v>
      </c>
      <c r="C24" s="18"/>
      <c r="D24" s="19"/>
      <c r="E24" s="20">
        <f>IF(WEEKDAY(A24,2)&lt;=5,Übersicht!$B$4,0)</f>
        <v>0</v>
      </c>
      <c r="F24" s="20" t="str">
        <f t="shared" si="0"/>
        <v/>
      </c>
      <c r="G24" s="21"/>
    </row>
    <row r="25" spans="1:7" x14ac:dyDescent="0.25">
      <c r="A25" s="22">
        <v>45950</v>
      </c>
      <c r="B25" s="23" t="s">
        <v>47</v>
      </c>
      <c r="C25" s="24" t="s">
        <v>88</v>
      </c>
      <c r="D25" s="25"/>
      <c r="E25" s="11">
        <f>IF(WEEKDAY(A25,2)&lt;=5,Übersicht!$B$4,0)</f>
        <v>8</v>
      </c>
      <c r="F25" s="11" t="str">
        <f t="shared" si="0"/>
        <v/>
      </c>
      <c r="G25" s="26" t="s">
        <v>92</v>
      </c>
    </row>
    <row r="26" spans="1:7" x14ac:dyDescent="0.25">
      <c r="A26" s="22">
        <v>45951</v>
      </c>
      <c r="B26" s="23" t="s">
        <v>48</v>
      </c>
      <c r="C26" s="24" t="s">
        <v>88</v>
      </c>
      <c r="D26" s="25"/>
      <c r="E26" s="11">
        <f>IF(WEEKDAY(A26,2)&lt;=5,Übersicht!$B$4,0)</f>
        <v>8</v>
      </c>
      <c r="F26" s="11" t="str">
        <f t="shared" si="0"/>
        <v/>
      </c>
      <c r="G26" s="26" t="s">
        <v>92</v>
      </c>
    </row>
    <row r="27" spans="1:7" x14ac:dyDescent="0.25">
      <c r="A27" s="22">
        <v>45952</v>
      </c>
      <c r="B27" s="23" t="s">
        <v>49</v>
      </c>
      <c r="C27" s="24" t="s">
        <v>88</v>
      </c>
      <c r="D27" s="25"/>
      <c r="E27" s="11">
        <f>IF(WEEKDAY(A27,2)&lt;=5,Übersicht!$B$4,0)</f>
        <v>8</v>
      </c>
      <c r="F27" s="11" t="str">
        <f t="shared" si="0"/>
        <v/>
      </c>
      <c r="G27" s="26" t="s">
        <v>92</v>
      </c>
    </row>
    <row r="28" spans="1:7" x14ac:dyDescent="0.25">
      <c r="A28" s="22">
        <v>45953</v>
      </c>
      <c r="B28" s="23" t="s">
        <v>50</v>
      </c>
      <c r="C28" s="24" t="s">
        <v>88</v>
      </c>
      <c r="D28" s="25"/>
      <c r="E28" s="11">
        <f>IF(WEEKDAY(A28,2)&lt;=5,Übersicht!$B$4,0)</f>
        <v>8</v>
      </c>
      <c r="F28" s="11" t="str">
        <f t="shared" si="0"/>
        <v/>
      </c>
      <c r="G28" s="26" t="s">
        <v>92</v>
      </c>
    </row>
    <row r="29" spans="1:7" x14ac:dyDescent="0.25">
      <c r="A29" s="22">
        <v>45954</v>
      </c>
      <c r="B29" s="23" t="s">
        <v>51</v>
      </c>
      <c r="C29" s="24" t="s">
        <v>88</v>
      </c>
      <c r="D29" s="25"/>
      <c r="E29" s="11">
        <f>IF(WEEKDAY(A29,2)&lt;=5,Übersicht!$B$4,0)</f>
        <v>8</v>
      </c>
      <c r="F29" s="11" t="str">
        <f t="shared" si="0"/>
        <v/>
      </c>
      <c r="G29" s="26" t="s">
        <v>92</v>
      </c>
    </row>
    <row r="30" spans="1:7" x14ac:dyDescent="0.25">
      <c r="A30" s="16">
        <v>45955</v>
      </c>
      <c r="B30" s="17" t="s">
        <v>45</v>
      </c>
      <c r="C30" s="18"/>
      <c r="D30" s="19"/>
      <c r="E30" s="20">
        <f>IF(WEEKDAY(A30,2)&lt;=5,Übersicht!$B$4,0)</f>
        <v>0</v>
      </c>
      <c r="F30" s="20" t="str">
        <f t="shared" si="0"/>
        <v/>
      </c>
      <c r="G30" s="21"/>
    </row>
    <row r="31" spans="1:7" x14ac:dyDescent="0.25">
      <c r="A31" s="16">
        <v>45956</v>
      </c>
      <c r="B31" s="17" t="s">
        <v>46</v>
      </c>
      <c r="C31" s="18"/>
      <c r="D31" s="19"/>
      <c r="E31" s="20">
        <f>IF(WEEKDAY(A31,2)&lt;=5,Übersicht!$B$4,0)</f>
        <v>0</v>
      </c>
      <c r="F31" s="20" t="str">
        <f t="shared" si="0"/>
        <v/>
      </c>
      <c r="G31" s="21"/>
    </row>
    <row r="32" spans="1:7" x14ac:dyDescent="0.25">
      <c r="A32" s="22">
        <v>45957</v>
      </c>
      <c r="B32" s="23" t="s">
        <v>47</v>
      </c>
      <c r="C32" s="24" t="s">
        <v>85</v>
      </c>
      <c r="D32" s="25">
        <v>8</v>
      </c>
      <c r="E32" s="11">
        <f>IF(WEEKDAY(A32,2)&lt;=5,Übersicht!$B$4,0)</f>
        <v>8</v>
      </c>
      <c r="F32" s="11">
        <f t="shared" si="0"/>
        <v>0</v>
      </c>
      <c r="G32" s="26"/>
    </row>
    <row r="33" spans="1:7" x14ac:dyDescent="0.25">
      <c r="A33" s="22">
        <v>45958</v>
      </c>
      <c r="B33" s="23" t="s">
        <v>48</v>
      </c>
      <c r="C33" s="24" t="s">
        <v>85</v>
      </c>
      <c r="D33" s="25">
        <v>8</v>
      </c>
      <c r="E33" s="11">
        <f>IF(WEEKDAY(A33,2)&lt;=5,Übersicht!$B$4,0)</f>
        <v>8</v>
      </c>
      <c r="F33" s="11">
        <f t="shared" si="0"/>
        <v>0</v>
      </c>
      <c r="G33" s="26"/>
    </row>
    <row r="34" spans="1:7" x14ac:dyDescent="0.25">
      <c r="A34" s="22">
        <v>45959</v>
      </c>
      <c r="B34" s="23" t="s">
        <v>49</v>
      </c>
      <c r="C34" s="24" t="s">
        <v>88</v>
      </c>
      <c r="D34" s="25"/>
      <c r="E34" s="11">
        <f>IF(WEEKDAY(A34,2)&lt;=5,Übersicht!$B$4,0)</f>
        <v>8</v>
      </c>
      <c r="F34" s="11" t="str">
        <f t="shared" si="0"/>
        <v/>
      </c>
      <c r="G34" s="26" t="s">
        <v>92</v>
      </c>
    </row>
    <row r="35" spans="1:7" x14ac:dyDescent="0.25">
      <c r="A35" s="22">
        <v>45960</v>
      </c>
      <c r="B35" s="23" t="s">
        <v>50</v>
      </c>
      <c r="C35" s="24" t="s">
        <v>85</v>
      </c>
      <c r="D35" s="25">
        <v>8</v>
      </c>
      <c r="E35" s="11">
        <f>IF(WEEKDAY(A35,2)&lt;=5,Übersicht!$B$4,0)</f>
        <v>8</v>
      </c>
      <c r="F35" s="11">
        <f t="shared" si="0"/>
        <v>0</v>
      </c>
      <c r="G35" s="26"/>
    </row>
    <row r="36" spans="1:7" x14ac:dyDescent="0.25">
      <c r="A36" s="22">
        <v>45961</v>
      </c>
      <c r="B36" s="23" t="s">
        <v>51</v>
      </c>
      <c r="C36" s="24" t="s">
        <v>85</v>
      </c>
      <c r="D36" s="25">
        <v>8</v>
      </c>
      <c r="E36" s="11">
        <f>IF(WEEKDAY(A36,2)&lt;=5,Übersicht!$B$4,0)</f>
        <v>8</v>
      </c>
      <c r="F36" s="11">
        <f t="shared" si="0"/>
        <v>0</v>
      </c>
      <c r="G36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66</v>
      </c>
      <c r="E38" s="13">
        <f>SUM(E6:E36)</f>
        <v>184</v>
      </c>
      <c r="F38" s="13">
        <f>SUM(F6:F36)</f>
        <v>-6</v>
      </c>
      <c r="G38" s="27"/>
    </row>
    <row r="39" spans="1:7" x14ac:dyDescent="0.25">
      <c r="A39" s="6" t="s">
        <v>11</v>
      </c>
      <c r="B39" s="28">
        <f>COUNTIF(E6:E36,"&gt;0")</f>
        <v>23</v>
      </c>
    </row>
    <row r="40" spans="1:7" x14ac:dyDescent="0.25">
      <c r="A40" s="6" t="s">
        <v>16</v>
      </c>
      <c r="B40" s="28">
        <f>COUNTIF(C6:C36,"U")</f>
        <v>0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Übersicht!F24</f>
        <v>-43</v>
      </c>
    </row>
  </sheetData>
  <mergeCells count="1">
    <mergeCell ref="B2:D2"/>
  </mergeCells>
  <dataValidations count="1">
    <dataValidation type="list" allowBlank="1" sqref="C6:C36" xr:uid="{00000000-0002-0000-09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C32" sqref="C32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70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16">
        <v>45962</v>
      </c>
      <c r="B6" s="17" t="s">
        <v>45</v>
      </c>
      <c r="C6" s="18" t="s">
        <v>56</v>
      </c>
      <c r="D6" s="19"/>
      <c r="E6" s="20">
        <f>IF(WEEKDAY(A6,2)&lt;=5,Übersicht!$B$4,0)</f>
        <v>0</v>
      </c>
      <c r="F6" s="20">
        <f t="shared" ref="F6:F35" si="0">IF(OR(C6="U",C6="K",C6="F",C6="G"),IF(D6="",0,D6),IF(D6="","",D6-E6))</f>
        <v>0</v>
      </c>
      <c r="G6" s="21" t="s">
        <v>71</v>
      </c>
    </row>
    <row r="7" spans="1:7" x14ac:dyDescent="0.25">
      <c r="A7" s="16">
        <v>45963</v>
      </c>
      <c r="B7" s="17" t="s">
        <v>46</v>
      </c>
      <c r="C7" s="18"/>
      <c r="D7" s="19"/>
      <c r="E7" s="20">
        <f>IF(WEEKDAY(A7,2)&lt;=5,Übersicht!$B$4,0)</f>
        <v>0</v>
      </c>
      <c r="F7" s="20" t="str">
        <f t="shared" si="0"/>
        <v/>
      </c>
      <c r="G7" s="21"/>
    </row>
    <row r="8" spans="1:7" x14ac:dyDescent="0.25">
      <c r="A8" s="22">
        <v>45964</v>
      </c>
      <c r="B8" s="23" t="s">
        <v>47</v>
      </c>
      <c r="C8" s="24" t="s">
        <v>88</v>
      </c>
      <c r="D8" s="25"/>
      <c r="E8" s="11">
        <f>IF(WEEKDAY(A8,2)&lt;=5,Übersicht!$B$4,0)</f>
        <v>8</v>
      </c>
      <c r="F8" s="11" t="str">
        <f t="shared" si="0"/>
        <v/>
      </c>
      <c r="G8" s="26" t="s">
        <v>92</v>
      </c>
    </row>
    <row r="9" spans="1:7" x14ac:dyDescent="0.25">
      <c r="A9" s="22">
        <v>45965</v>
      </c>
      <c r="B9" s="23" t="s">
        <v>48</v>
      </c>
      <c r="C9" s="24" t="s">
        <v>85</v>
      </c>
      <c r="D9" s="25">
        <v>4</v>
      </c>
      <c r="E9" s="11">
        <f>IF(WEEKDAY(A9,2)&lt;=5,Übersicht!$B$4,0)</f>
        <v>8</v>
      </c>
      <c r="F9" s="11">
        <f t="shared" si="0"/>
        <v>-4</v>
      </c>
      <c r="G9" s="26"/>
    </row>
    <row r="10" spans="1:7" x14ac:dyDescent="0.25">
      <c r="A10" s="22">
        <v>45966</v>
      </c>
      <c r="B10" s="23" t="s">
        <v>49</v>
      </c>
      <c r="C10" s="24" t="s">
        <v>85</v>
      </c>
      <c r="D10" s="25">
        <v>8</v>
      </c>
      <c r="E10" s="11">
        <f>IF(WEEKDAY(A10,2)&lt;=5,Übersicht!$B$4,0)</f>
        <v>8</v>
      </c>
      <c r="F10" s="11">
        <f t="shared" si="0"/>
        <v>0</v>
      </c>
      <c r="G10" s="26"/>
    </row>
    <row r="11" spans="1:7" x14ac:dyDescent="0.25">
      <c r="A11" s="22">
        <v>45967</v>
      </c>
      <c r="B11" s="23" t="s">
        <v>50</v>
      </c>
      <c r="C11" s="24" t="s">
        <v>88</v>
      </c>
      <c r="D11" s="25"/>
      <c r="E11" s="11">
        <f>IF(WEEKDAY(A11,2)&lt;=5,Übersicht!$B$4,0)</f>
        <v>8</v>
      </c>
      <c r="F11" s="11" t="str">
        <f t="shared" si="0"/>
        <v/>
      </c>
      <c r="G11" s="26" t="s">
        <v>92</v>
      </c>
    </row>
    <row r="12" spans="1:7" x14ac:dyDescent="0.25">
      <c r="A12" s="22">
        <v>45968</v>
      </c>
      <c r="B12" s="23" t="s">
        <v>51</v>
      </c>
      <c r="C12" s="24" t="s">
        <v>87</v>
      </c>
      <c r="D12" s="25"/>
      <c r="E12" s="11">
        <f>IF(WEEKDAY(A12,2)&lt;=5,Übersicht!$B$4,0)</f>
        <v>8</v>
      </c>
      <c r="F12" s="11">
        <f t="shared" si="0"/>
        <v>0</v>
      </c>
      <c r="G12" s="26"/>
    </row>
    <row r="13" spans="1:7" x14ac:dyDescent="0.25">
      <c r="A13" s="16">
        <v>45969</v>
      </c>
      <c r="B13" s="17" t="s">
        <v>45</v>
      </c>
      <c r="C13" s="18"/>
      <c r="D13" s="19"/>
      <c r="E13" s="20">
        <f>IF(WEEKDAY(A13,2)&lt;=5,Übersicht!$B$4,0)</f>
        <v>0</v>
      </c>
      <c r="F13" s="20" t="str">
        <f t="shared" si="0"/>
        <v/>
      </c>
      <c r="G13" s="21"/>
    </row>
    <row r="14" spans="1:7" x14ac:dyDescent="0.25">
      <c r="A14" s="16">
        <v>45970</v>
      </c>
      <c r="B14" s="17" t="s">
        <v>46</v>
      </c>
      <c r="C14" s="18"/>
      <c r="D14" s="19"/>
      <c r="E14" s="20">
        <f>IF(WEEKDAY(A14,2)&lt;=5,Übersicht!$B$4,0)</f>
        <v>0</v>
      </c>
      <c r="F14" s="20" t="str">
        <f t="shared" si="0"/>
        <v/>
      </c>
      <c r="G14" s="21"/>
    </row>
    <row r="15" spans="1:7" x14ac:dyDescent="0.25">
      <c r="A15" s="22">
        <v>45971</v>
      </c>
      <c r="B15" s="23" t="s">
        <v>47</v>
      </c>
      <c r="C15" s="24" t="s">
        <v>88</v>
      </c>
      <c r="D15" s="25"/>
      <c r="E15" s="11">
        <f>IF(WEEKDAY(A15,2)&lt;=5,Übersicht!$B$4,0)</f>
        <v>8</v>
      </c>
      <c r="F15" s="11" t="str">
        <f t="shared" si="0"/>
        <v/>
      </c>
      <c r="G15" s="26" t="s">
        <v>92</v>
      </c>
    </row>
    <row r="16" spans="1:7" x14ac:dyDescent="0.25">
      <c r="A16" s="22">
        <v>45972</v>
      </c>
      <c r="B16" s="23" t="s">
        <v>48</v>
      </c>
      <c r="C16" s="24" t="s">
        <v>88</v>
      </c>
      <c r="D16" s="25"/>
      <c r="E16" s="11">
        <f>IF(WEEKDAY(A16,2)&lt;=5,Übersicht!$B$4,0)</f>
        <v>8</v>
      </c>
      <c r="F16" s="11" t="str">
        <f t="shared" si="0"/>
        <v/>
      </c>
      <c r="G16" s="26" t="s">
        <v>92</v>
      </c>
    </row>
    <row r="17" spans="1:7" x14ac:dyDescent="0.25">
      <c r="A17" s="22">
        <v>45973</v>
      </c>
      <c r="B17" s="23" t="s">
        <v>49</v>
      </c>
      <c r="C17" s="24" t="s">
        <v>88</v>
      </c>
      <c r="D17" s="25"/>
      <c r="E17" s="11">
        <f>IF(WEEKDAY(A17,2)&lt;=5,Übersicht!$B$4,0)</f>
        <v>8</v>
      </c>
      <c r="F17" s="11" t="str">
        <f t="shared" si="0"/>
        <v/>
      </c>
      <c r="G17" s="26" t="s">
        <v>92</v>
      </c>
    </row>
    <row r="18" spans="1:7" x14ac:dyDescent="0.25">
      <c r="A18" s="22">
        <v>45974</v>
      </c>
      <c r="B18" s="23" t="s">
        <v>50</v>
      </c>
      <c r="C18" s="24" t="s">
        <v>88</v>
      </c>
      <c r="D18" s="25"/>
      <c r="E18" s="11">
        <f>IF(WEEKDAY(A18,2)&lt;=5,Übersicht!$B$4,0)</f>
        <v>8</v>
      </c>
      <c r="F18" s="11" t="str">
        <f t="shared" si="0"/>
        <v/>
      </c>
      <c r="G18" s="26" t="s">
        <v>92</v>
      </c>
    </row>
    <row r="19" spans="1:7" x14ac:dyDescent="0.25">
      <c r="A19" s="22">
        <v>45975</v>
      </c>
      <c r="B19" s="23" t="s">
        <v>51</v>
      </c>
      <c r="C19" s="24" t="s">
        <v>88</v>
      </c>
      <c r="D19" s="25"/>
      <c r="E19" s="11">
        <f>IF(WEEKDAY(A19,2)&lt;=5,Übersicht!$B$4,0)</f>
        <v>8</v>
      </c>
      <c r="F19" s="11" t="str">
        <f t="shared" si="0"/>
        <v/>
      </c>
      <c r="G19" s="26" t="s">
        <v>92</v>
      </c>
    </row>
    <row r="20" spans="1:7" x14ac:dyDescent="0.25">
      <c r="A20" s="16">
        <v>45976</v>
      </c>
      <c r="B20" s="17" t="s">
        <v>45</v>
      </c>
      <c r="C20" s="18"/>
      <c r="D20" s="19"/>
      <c r="E20" s="20">
        <f>IF(WEEKDAY(A20,2)&lt;=5,Übersicht!$B$4,0)</f>
        <v>0</v>
      </c>
      <c r="F20" s="20" t="str">
        <f t="shared" si="0"/>
        <v/>
      </c>
      <c r="G20" s="21"/>
    </row>
    <row r="21" spans="1:7" x14ac:dyDescent="0.25">
      <c r="A21" s="16">
        <v>45977</v>
      </c>
      <c r="B21" s="17" t="s">
        <v>46</v>
      </c>
      <c r="C21" s="18"/>
      <c r="D21" s="19"/>
      <c r="E21" s="20">
        <f>IF(WEEKDAY(A21,2)&lt;=5,Übersicht!$B$4,0)</f>
        <v>0</v>
      </c>
      <c r="F21" s="20" t="str">
        <f t="shared" si="0"/>
        <v/>
      </c>
      <c r="G21" s="21"/>
    </row>
    <row r="22" spans="1:7" x14ac:dyDescent="0.25">
      <c r="A22" s="22">
        <v>45978</v>
      </c>
      <c r="B22" s="23" t="s">
        <v>47</v>
      </c>
      <c r="C22" s="24" t="s">
        <v>88</v>
      </c>
      <c r="D22" s="25"/>
      <c r="E22" s="11">
        <f>IF(WEEKDAY(A22,2)&lt;=5,Übersicht!$B$4,0)</f>
        <v>8</v>
      </c>
      <c r="F22" s="11" t="str">
        <f t="shared" si="0"/>
        <v/>
      </c>
      <c r="G22" s="26" t="s">
        <v>92</v>
      </c>
    </row>
    <row r="23" spans="1:7" x14ac:dyDescent="0.25">
      <c r="A23" s="22">
        <v>45979</v>
      </c>
      <c r="B23" s="23" t="s">
        <v>48</v>
      </c>
      <c r="C23" s="24" t="s">
        <v>88</v>
      </c>
      <c r="D23" s="25"/>
      <c r="E23" s="11">
        <f>IF(WEEKDAY(A23,2)&lt;=5,Übersicht!$B$4,0)</f>
        <v>8</v>
      </c>
      <c r="F23" s="11" t="str">
        <f t="shared" si="0"/>
        <v/>
      </c>
      <c r="G23" s="26" t="s">
        <v>92</v>
      </c>
    </row>
    <row r="24" spans="1:7" x14ac:dyDescent="0.25">
      <c r="A24" s="22">
        <v>45980</v>
      </c>
      <c r="B24" s="23" t="s">
        <v>49</v>
      </c>
      <c r="C24" s="24" t="s">
        <v>88</v>
      </c>
      <c r="D24" s="25"/>
      <c r="E24" s="11">
        <f>IF(WEEKDAY(A24,2)&lt;=5,Übersicht!$B$4,0)</f>
        <v>8</v>
      </c>
      <c r="F24" s="11" t="str">
        <f t="shared" si="0"/>
        <v/>
      </c>
      <c r="G24" s="26" t="s">
        <v>92</v>
      </c>
    </row>
    <row r="25" spans="1:7" x14ac:dyDescent="0.25">
      <c r="A25" s="22">
        <v>45981</v>
      </c>
      <c r="B25" s="23" t="s">
        <v>50</v>
      </c>
      <c r="C25" s="24" t="s">
        <v>88</v>
      </c>
      <c r="D25" s="25"/>
      <c r="E25" s="11">
        <f>IF(WEEKDAY(A25,2)&lt;=5,Übersicht!$B$4,0)</f>
        <v>8</v>
      </c>
      <c r="F25" s="11" t="str">
        <f t="shared" si="0"/>
        <v/>
      </c>
      <c r="G25" s="26" t="s">
        <v>92</v>
      </c>
    </row>
    <row r="26" spans="1:7" x14ac:dyDescent="0.25">
      <c r="A26" s="22">
        <v>45982</v>
      </c>
      <c r="B26" s="23" t="s">
        <v>51</v>
      </c>
      <c r="C26" s="24" t="s">
        <v>88</v>
      </c>
      <c r="D26" s="25"/>
      <c r="E26" s="11">
        <f>IF(WEEKDAY(A26,2)&lt;=5,Übersicht!$B$4,0)</f>
        <v>8</v>
      </c>
      <c r="F26" s="11" t="str">
        <f t="shared" si="0"/>
        <v/>
      </c>
      <c r="G26" s="26" t="s">
        <v>92</v>
      </c>
    </row>
    <row r="27" spans="1:7" x14ac:dyDescent="0.25">
      <c r="A27" s="16">
        <v>45983</v>
      </c>
      <c r="B27" s="17" t="s">
        <v>45</v>
      </c>
      <c r="C27" s="18"/>
      <c r="D27" s="19"/>
      <c r="E27" s="20">
        <f>IF(WEEKDAY(A27,2)&lt;=5,Übersicht!$B$4,0)</f>
        <v>0</v>
      </c>
      <c r="F27" s="20" t="str">
        <f t="shared" si="0"/>
        <v/>
      </c>
      <c r="G27" s="21"/>
    </row>
    <row r="28" spans="1:7" x14ac:dyDescent="0.25">
      <c r="A28" s="16">
        <v>45984</v>
      </c>
      <c r="B28" s="17" t="s">
        <v>46</v>
      </c>
      <c r="C28" s="18"/>
      <c r="D28" s="19"/>
      <c r="E28" s="20">
        <f>IF(WEEKDAY(A28,2)&lt;=5,Übersicht!$B$4,0)</f>
        <v>0</v>
      </c>
      <c r="F28" s="20" t="str">
        <f t="shared" si="0"/>
        <v/>
      </c>
      <c r="G28" s="21"/>
    </row>
    <row r="29" spans="1:7" x14ac:dyDescent="0.25">
      <c r="A29" s="22">
        <v>45985</v>
      </c>
      <c r="B29" s="23" t="s">
        <v>47</v>
      </c>
      <c r="C29" s="24" t="s">
        <v>88</v>
      </c>
      <c r="D29" s="25"/>
      <c r="E29" s="11">
        <f>IF(WEEKDAY(A29,2)&lt;=5,Übersicht!$B$4,0)</f>
        <v>8</v>
      </c>
      <c r="F29" s="11" t="str">
        <f t="shared" si="0"/>
        <v/>
      </c>
      <c r="G29" s="26" t="s">
        <v>92</v>
      </c>
    </row>
    <row r="30" spans="1:7" x14ac:dyDescent="0.25">
      <c r="A30" s="22">
        <v>45986</v>
      </c>
      <c r="B30" s="23" t="s">
        <v>48</v>
      </c>
      <c r="C30" s="24" t="s">
        <v>88</v>
      </c>
      <c r="D30" s="25"/>
      <c r="E30" s="11">
        <f>IF(WEEKDAY(A30,2)&lt;=5,Übersicht!$B$4,0)</f>
        <v>8</v>
      </c>
      <c r="F30" s="11" t="str">
        <f t="shared" si="0"/>
        <v/>
      </c>
      <c r="G30" s="26" t="s">
        <v>92</v>
      </c>
    </row>
    <row r="31" spans="1:7" x14ac:dyDescent="0.25">
      <c r="A31" s="22">
        <v>45987</v>
      </c>
      <c r="B31" s="23" t="s">
        <v>49</v>
      </c>
      <c r="C31" s="24" t="s">
        <v>88</v>
      </c>
      <c r="D31" s="25"/>
      <c r="E31" s="11">
        <f>IF(WEEKDAY(A31,2)&lt;=5,Übersicht!$B$4,0)</f>
        <v>8</v>
      </c>
      <c r="F31" s="11" t="str">
        <f t="shared" si="0"/>
        <v/>
      </c>
      <c r="G31" s="26" t="s">
        <v>92</v>
      </c>
    </row>
    <row r="32" spans="1:7" x14ac:dyDescent="0.25">
      <c r="A32" s="22">
        <v>45988</v>
      </c>
      <c r="B32" s="23" t="s">
        <v>50</v>
      </c>
      <c r="C32" s="24" t="s">
        <v>87</v>
      </c>
      <c r="D32" s="25"/>
      <c r="E32" s="11">
        <f>IF(WEEKDAY(A32,2)&lt;=5,Übersicht!$B$4,0)</f>
        <v>8</v>
      </c>
      <c r="F32" s="11">
        <f t="shared" si="0"/>
        <v>0</v>
      </c>
      <c r="G32" s="26"/>
    </row>
    <row r="33" spans="1:7" x14ac:dyDescent="0.25">
      <c r="A33" s="22">
        <v>45989</v>
      </c>
      <c r="B33" s="23" t="s">
        <v>51</v>
      </c>
      <c r="C33" s="24" t="s">
        <v>88</v>
      </c>
      <c r="D33" s="25"/>
      <c r="E33" s="11">
        <f>IF(WEEKDAY(A33,2)&lt;=5,Übersicht!$B$4,0)</f>
        <v>8</v>
      </c>
      <c r="F33" s="11" t="str">
        <f t="shared" si="0"/>
        <v/>
      </c>
      <c r="G33" s="26" t="s">
        <v>92</v>
      </c>
    </row>
    <row r="34" spans="1:7" x14ac:dyDescent="0.25">
      <c r="A34" s="16">
        <v>45990</v>
      </c>
      <c r="B34" s="17" t="s">
        <v>45</v>
      </c>
      <c r="C34" s="18"/>
      <c r="D34" s="19"/>
      <c r="E34" s="20">
        <f>IF(WEEKDAY(A34,2)&lt;=5,Übersicht!$B$4,0)</f>
        <v>0</v>
      </c>
      <c r="F34" s="20" t="str">
        <f t="shared" si="0"/>
        <v/>
      </c>
      <c r="G34" s="21"/>
    </row>
    <row r="35" spans="1:7" x14ac:dyDescent="0.25">
      <c r="A35" s="16">
        <v>45991</v>
      </c>
      <c r="B35" s="17" t="s">
        <v>46</v>
      </c>
      <c r="C35" s="18"/>
      <c r="D35" s="19"/>
      <c r="E35" s="20">
        <f>IF(WEEKDAY(A35,2)&lt;=5,Übersicht!$B$4,0)</f>
        <v>0</v>
      </c>
      <c r="F35" s="20" t="str">
        <f t="shared" si="0"/>
        <v/>
      </c>
      <c r="G35" s="21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28</v>
      </c>
      <c r="E38" s="13">
        <f>SUM(E6:E36)</f>
        <v>160</v>
      </c>
      <c r="F38" s="13">
        <f>SUM(F6:F36)</f>
        <v>-4</v>
      </c>
      <c r="G38" s="27"/>
    </row>
    <row r="39" spans="1:7" x14ac:dyDescent="0.25">
      <c r="A39" s="6" t="s">
        <v>11</v>
      </c>
      <c r="B39" s="28">
        <f>COUNTIF(E6:E36,"&gt;0")</f>
        <v>20</v>
      </c>
    </row>
    <row r="40" spans="1:7" x14ac:dyDescent="0.25">
      <c r="A40" s="6" t="s">
        <v>16</v>
      </c>
      <c r="B40" s="28">
        <f>COUNTIF(C6:C36,"U")</f>
        <v>2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Übersicht!F25</f>
        <v>-47</v>
      </c>
    </row>
  </sheetData>
  <mergeCells count="1">
    <mergeCell ref="B2:D2"/>
  </mergeCells>
  <dataValidations count="1">
    <dataValidation type="list" allowBlank="1" sqref="C6:C35" xr:uid="{00000000-0002-0000-0A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G35" sqref="G35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72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22">
        <v>45992</v>
      </c>
      <c r="B6" s="23" t="s">
        <v>47</v>
      </c>
      <c r="C6" s="24" t="s">
        <v>88</v>
      </c>
      <c r="D6" s="25"/>
      <c r="E6" s="11">
        <f>IF(WEEKDAY(A6,2)&lt;=5,Übersicht!$B$4,0)</f>
        <v>8</v>
      </c>
      <c r="F6" s="11" t="str">
        <f t="shared" ref="F6:F36" si="0">IF(OR(C6="U",C6="K",C6="F",C6="G"),IF(D6="",0,D6),IF(D6="","",D6-E6))</f>
        <v/>
      </c>
      <c r="G6" s="26" t="s">
        <v>92</v>
      </c>
    </row>
    <row r="7" spans="1:7" x14ac:dyDescent="0.25">
      <c r="A7" s="22">
        <v>45993</v>
      </c>
      <c r="B7" s="23" t="s">
        <v>48</v>
      </c>
      <c r="C7" s="24" t="s">
        <v>88</v>
      </c>
      <c r="D7" s="25"/>
      <c r="E7" s="11">
        <f>IF(WEEKDAY(A7,2)&lt;=5,Übersicht!$B$4,0)</f>
        <v>8</v>
      </c>
      <c r="F7" s="11" t="str">
        <f t="shared" si="0"/>
        <v/>
      </c>
      <c r="G7" s="26" t="s">
        <v>92</v>
      </c>
    </row>
    <row r="8" spans="1:7" x14ac:dyDescent="0.25">
      <c r="A8" s="22">
        <v>45994</v>
      </c>
      <c r="B8" s="23" t="s">
        <v>49</v>
      </c>
      <c r="C8" s="24" t="s">
        <v>88</v>
      </c>
      <c r="D8" s="25"/>
      <c r="E8" s="11">
        <f>IF(WEEKDAY(A8,2)&lt;=5,Übersicht!$B$4,0)</f>
        <v>8</v>
      </c>
      <c r="F8" s="11" t="str">
        <f t="shared" si="0"/>
        <v/>
      </c>
      <c r="G8" s="26" t="s">
        <v>92</v>
      </c>
    </row>
    <row r="9" spans="1:7" x14ac:dyDescent="0.25">
      <c r="A9" s="22">
        <v>45995</v>
      </c>
      <c r="B9" s="23" t="s">
        <v>50</v>
      </c>
      <c r="C9" s="24" t="s">
        <v>88</v>
      </c>
      <c r="D9" s="25"/>
      <c r="E9" s="11">
        <f>IF(WEEKDAY(A9,2)&lt;=5,Übersicht!$B$4,0)</f>
        <v>8</v>
      </c>
      <c r="F9" s="11" t="str">
        <f t="shared" si="0"/>
        <v/>
      </c>
      <c r="G9" s="26" t="s">
        <v>92</v>
      </c>
    </row>
    <row r="10" spans="1:7" x14ac:dyDescent="0.25">
      <c r="A10" s="22">
        <v>45996</v>
      </c>
      <c r="B10" s="23" t="s">
        <v>51</v>
      </c>
      <c r="C10" s="24" t="s">
        <v>85</v>
      </c>
      <c r="D10" s="25">
        <v>2</v>
      </c>
      <c r="E10" s="11">
        <f>IF(WEEKDAY(A10,2)&lt;=5,Übersicht!$B$4,0)</f>
        <v>8</v>
      </c>
      <c r="F10" s="11">
        <f t="shared" si="0"/>
        <v>-6</v>
      </c>
      <c r="G10" s="26"/>
    </row>
    <row r="11" spans="1:7" x14ac:dyDescent="0.25">
      <c r="A11" s="16">
        <v>45997</v>
      </c>
      <c r="B11" s="17" t="s">
        <v>45</v>
      </c>
      <c r="C11" s="18"/>
      <c r="D11" s="19"/>
      <c r="E11" s="20">
        <f>IF(WEEKDAY(A11,2)&lt;=5,Übersicht!$B$4,0)</f>
        <v>0</v>
      </c>
      <c r="F11" s="20" t="str">
        <f t="shared" si="0"/>
        <v/>
      </c>
      <c r="G11" s="21"/>
    </row>
    <row r="12" spans="1:7" x14ac:dyDescent="0.25">
      <c r="A12" s="16">
        <v>45998</v>
      </c>
      <c r="B12" s="17" t="s">
        <v>46</v>
      </c>
      <c r="C12" s="18"/>
      <c r="D12" s="19"/>
      <c r="E12" s="20">
        <f>IF(WEEKDAY(A12,2)&lt;=5,Übersicht!$B$4,0)</f>
        <v>0</v>
      </c>
      <c r="F12" s="20" t="str">
        <f t="shared" si="0"/>
        <v/>
      </c>
      <c r="G12" s="21"/>
    </row>
    <row r="13" spans="1:7" x14ac:dyDescent="0.25">
      <c r="A13" s="22">
        <v>45999</v>
      </c>
      <c r="B13" s="23" t="s">
        <v>47</v>
      </c>
      <c r="C13" s="24" t="s">
        <v>88</v>
      </c>
      <c r="D13" s="25"/>
      <c r="E13" s="11">
        <f>IF(WEEKDAY(A13,2)&lt;=5,Übersicht!$B$4,0)</f>
        <v>8</v>
      </c>
      <c r="F13" s="11" t="str">
        <f t="shared" si="0"/>
        <v/>
      </c>
      <c r="G13" s="26" t="s">
        <v>92</v>
      </c>
    </row>
    <row r="14" spans="1:7" x14ac:dyDescent="0.25">
      <c r="A14" s="22">
        <v>46000</v>
      </c>
      <c r="B14" s="23" t="s">
        <v>48</v>
      </c>
      <c r="C14" s="24" t="s">
        <v>88</v>
      </c>
      <c r="D14" s="25"/>
      <c r="E14" s="11">
        <f>IF(WEEKDAY(A14,2)&lt;=5,Übersicht!$B$4,0)</f>
        <v>8</v>
      </c>
      <c r="F14" s="11" t="str">
        <f t="shared" si="0"/>
        <v/>
      </c>
      <c r="G14" s="26" t="s">
        <v>92</v>
      </c>
    </row>
    <row r="15" spans="1:7" x14ac:dyDescent="0.25">
      <c r="A15" s="22">
        <v>46001</v>
      </c>
      <c r="B15" s="23" t="s">
        <v>49</v>
      </c>
      <c r="C15" s="24" t="s">
        <v>88</v>
      </c>
      <c r="D15" s="25"/>
      <c r="E15" s="11">
        <f>IF(WEEKDAY(A15,2)&lt;=5,Übersicht!$B$4,0)</f>
        <v>8</v>
      </c>
      <c r="F15" s="11" t="str">
        <f t="shared" si="0"/>
        <v/>
      </c>
      <c r="G15" s="26" t="s">
        <v>92</v>
      </c>
    </row>
    <row r="16" spans="1:7" x14ac:dyDescent="0.25">
      <c r="A16" s="22">
        <v>46002</v>
      </c>
      <c r="B16" s="23" t="s">
        <v>50</v>
      </c>
      <c r="C16" s="24" t="s">
        <v>88</v>
      </c>
      <c r="D16" s="25"/>
      <c r="E16" s="11">
        <f>IF(WEEKDAY(A16,2)&lt;=5,Übersicht!$B$4,0)</f>
        <v>8</v>
      </c>
      <c r="F16" s="11" t="str">
        <f t="shared" si="0"/>
        <v/>
      </c>
      <c r="G16" s="26" t="s">
        <v>92</v>
      </c>
    </row>
    <row r="17" spans="1:7" x14ac:dyDescent="0.25">
      <c r="A17" s="22">
        <v>46003</v>
      </c>
      <c r="B17" s="23" t="s">
        <v>51</v>
      </c>
      <c r="C17" s="24" t="s">
        <v>87</v>
      </c>
      <c r="D17" s="25"/>
      <c r="E17" s="11">
        <f>IF(WEEKDAY(A17,2)&lt;=5,Übersicht!$B$4,0)</f>
        <v>8</v>
      </c>
      <c r="F17" s="11">
        <f t="shared" si="0"/>
        <v>0</v>
      </c>
      <c r="G17" s="26"/>
    </row>
    <row r="18" spans="1:7" x14ac:dyDescent="0.25">
      <c r="A18" s="16">
        <v>46004</v>
      </c>
      <c r="B18" s="17" t="s">
        <v>45</v>
      </c>
      <c r="C18" s="18"/>
      <c r="D18" s="19"/>
      <c r="E18" s="20">
        <f>IF(WEEKDAY(A18,2)&lt;=5,Übersicht!$B$4,0)</f>
        <v>0</v>
      </c>
      <c r="F18" s="20" t="str">
        <f t="shared" si="0"/>
        <v/>
      </c>
      <c r="G18" s="21"/>
    </row>
    <row r="19" spans="1:7" x14ac:dyDescent="0.25">
      <c r="A19" s="16">
        <v>46005</v>
      </c>
      <c r="B19" s="17" t="s">
        <v>46</v>
      </c>
      <c r="C19" s="18"/>
      <c r="D19" s="19"/>
      <c r="E19" s="20">
        <f>IF(WEEKDAY(A19,2)&lt;=5,Übersicht!$B$4,0)</f>
        <v>0</v>
      </c>
      <c r="F19" s="20" t="str">
        <f t="shared" si="0"/>
        <v/>
      </c>
      <c r="G19" s="21"/>
    </row>
    <row r="20" spans="1:7" x14ac:dyDescent="0.25">
      <c r="A20" s="22">
        <v>46006</v>
      </c>
      <c r="B20" s="23" t="s">
        <v>47</v>
      </c>
      <c r="C20" s="24" t="s">
        <v>88</v>
      </c>
      <c r="D20" s="25"/>
      <c r="E20" s="11">
        <f>IF(WEEKDAY(A20,2)&lt;=5,Übersicht!$B$4,0)</f>
        <v>8</v>
      </c>
      <c r="F20" s="11" t="str">
        <f t="shared" si="0"/>
        <v/>
      </c>
      <c r="G20" s="26" t="s">
        <v>92</v>
      </c>
    </row>
    <row r="21" spans="1:7" x14ac:dyDescent="0.25">
      <c r="A21" s="22">
        <v>46007</v>
      </c>
      <c r="B21" s="23" t="s">
        <v>48</v>
      </c>
      <c r="C21" s="24" t="s">
        <v>88</v>
      </c>
      <c r="D21" s="25"/>
      <c r="E21" s="11">
        <f>IF(WEEKDAY(A21,2)&lt;=5,Übersicht!$B$4,0)</f>
        <v>8</v>
      </c>
      <c r="F21" s="11" t="str">
        <f t="shared" si="0"/>
        <v/>
      </c>
      <c r="G21" s="26" t="s">
        <v>92</v>
      </c>
    </row>
    <row r="22" spans="1:7" x14ac:dyDescent="0.25">
      <c r="A22" s="22">
        <v>46008</v>
      </c>
      <c r="B22" s="23" t="s">
        <v>49</v>
      </c>
      <c r="C22" s="24" t="s">
        <v>88</v>
      </c>
      <c r="D22" s="25"/>
      <c r="E22" s="11">
        <f>IF(WEEKDAY(A22,2)&lt;=5,Übersicht!$B$4,0)</f>
        <v>8</v>
      </c>
      <c r="F22" s="11" t="str">
        <f t="shared" si="0"/>
        <v/>
      </c>
      <c r="G22" s="26" t="s">
        <v>92</v>
      </c>
    </row>
    <row r="23" spans="1:7" x14ac:dyDescent="0.25">
      <c r="A23" s="22">
        <v>46009</v>
      </c>
      <c r="B23" s="23" t="s">
        <v>50</v>
      </c>
      <c r="C23" s="24" t="s">
        <v>88</v>
      </c>
      <c r="D23" s="25"/>
      <c r="E23" s="11">
        <f>IF(WEEKDAY(A23,2)&lt;=5,Übersicht!$B$4,0)</f>
        <v>8</v>
      </c>
      <c r="F23" s="11" t="str">
        <f t="shared" si="0"/>
        <v/>
      </c>
      <c r="G23" s="26" t="s">
        <v>92</v>
      </c>
    </row>
    <row r="24" spans="1:7" x14ac:dyDescent="0.25">
      <c r="A24" s="22">
        <v>46010</v>
      </c>
      <c r="B24" s="23" t="s">
        <v>51</v>
      </c>
      <c r="C24" s="24" t="s">
        <v>88</v>
      </c>
      <c r="D24" s="25"/>
      <c r="E24" s="11">
        <f>IF(WEEKDAY(A24,2)&lt;=5,Übersicht!$B$4,0)</f>
        <v>8</v>
      </c>
      <c r="F24" s="11" t="str">
        <f t="shared" si="0"/>
        <v/>
      </c>
      <c r="G24" s="26" t="s">
        <v>92</v>
      </c>
    </row>
    <row r="25" spans="1:7" x14ac:dyDescent="0.25">
      <c r="A25" s="16">
        <v>46011</v>
      </c>
      <c r="B25" s="17" t="s">
        <v>45</v>
      </c>
      <c r="C25" s="18"/>
      <c r="D25" s="19"/>
      <c r="E25" s="20">
        <f>IF(WEEKDAY(A25,2)&lt;=5,Übersicht!$B$4,0)</f>
        <v>0</v>
      </c>
      <c r="F25" s="20" t="str">
        <f t="shared" si="0"/>
        <v/>
      </c>
      <c r="G25" s="21"/>
    </row>
    <row r="26" spans="1:7" x14ac:dyDescent="0.25">
      <c r="A26" s="16">
        <v>46012</v>
      </c>
      <c r="B26" s="17" t="s">
        <v>46</v>
      </c>
      <c r="C26" s="18"/>
      <c r="D26" s="19"/>
      <c r="E26" s="20">
        <f>IF(WEEKDAY(A26,2)&lt;=5,Übersicht!$B$4,0)</f>
        <v>0</v>
      </c>
      <c r="F26" s="20" t="str">
        <f t="shared" si="0"/>
        <v/>
      </c>
      <c r="G26" s="21"/>
    </row>
    <row r="27" spans="1:7" x14ac:dyDescent="0.25">
      <c r="A27" s="22">
        <v>46013</v>
      </c>
      <c r="B27" s="23" t="s">
        <v>47</v>
      </c>
      <c r="C27" s="24" t="s">
        <v>88</v>
      </c>
      <c r="D27" s="25"/>
      <c r="E27" s="11">
        <f>IF(WEEKDAY(A27,2)&lt;=5,Übersicht!$B$4,0)</f>
        <v>8</v>
      </c>
      <c r="F27" s="11" t="str">
        <f t="shared" si="0"/>
        <v/>
      </c>
      <c r="G27" s="26" t="s">
        <v>92</v>
      </c>
    </row>
    <row r="28" spans="1:7" x14ac:dyDescent="0.25">
      <c r="A28" s="22">
        <v>46014</v>
      </c>
      <c r="B28" s="23" t="s">
        <v>48</v>
      </c>
      <c r="C28" s="24" t="s">
        <v>87</v>
      </c>
      <c r="D28" s="25"/>
      <c r="E28" s="11">
        <f>IF(WEEKDAY(A28,2)&lt;=5,Übersicht!$B$4,0)</f>
        <v>8</v>
      </c>
      <c r="F28" s="11">
        <f t="shared" si="0"/>
        <v>0</v>
      </c>
      <c r="G28" s="26"/>
    </row>
    <row r="29" spans="1:7" x14ac:dyDescent="0.25">
      <c r="A29" s="22">
        <v>46015</v>
      </c>
      <c r="B29" s="23" t="s">
        <v>49</v>
      </c>
      <c r="C29" s="24" t="s">
        <v>87</v>
      </c>
      <c r="D29" s="25"/>
      <c r="E29" s="11">
        <f>IF(WEEKDAY(A29,2)&lt;=5,Übersicht!$B$4,0)</f>
        <v>8</v>
      </c>
      <c r="F29" s="11">
        <f t="shared" si="0"/>
        <v>0</v>
      </c>
      <c r="G29" s="26"/>
    </row>
    <row r="30" spans="1:7" x14ac:dyDescent="0.25">
      <c r="A30" s="22">
        <v>46016</v>
      </c>
      <c r="B30" s="23" t="s">
        <v>50</v>
      </c>
      <c r="C30" s="24" t="s">
        <v>56</v>
      </c>
      <c r="D30" s="25"/>
      <c r="E30" s="11">
        <f>IF(WEEKDAY(A30,2)&lt;=5,Übersicht!$B$4,0)</f>
        <v>8</v>
      </c>
      <c r="F30" s="11">
        <f t="shared" si="0"/>
        <v>0</v>
      </c>
      <c r="G30" s="26" t="s">
        <v>73</v>
      </c>
    </row>
    <row r="31" spans="1:7" x14ac:dyDescent="0.25">
      <c r="A31" s="22">
        <v>46017</v>
      </c>
      <c r="B31" s="23" t="s">
        <v>51</v>
      </c>
      <c r="C31" s="24" t="s">
        <v>56</v>
      </c>
      <c r="D31" s="25"/>
      <c r="E31" s="11">
        <f>IF(WEEKDAY(A31,2)&lt;=5,Übersicht!$B$4,0)</f>
        <v>8</v>
      </c>
      <c r="F31" s="11">
        <f t="shared" si="0"/>
        <v>0</v>
      </c>
      <c r="G31" s="26" t="s">
        <v>74</v>
      </c>
    </row>
    <row r="32" spans="1:7" x14ac:dyDescent="0.25">
      <c r="A32" s="16">
        <v>46018</v>
      </c>
      <c r="B32" s="17" t="s">
        <v>45</v>
      </c>
      <c r="C32" s="18"/>
      <c r="D32" s="19"/>
      <c r="E32" s="20">
        <f>IF(WEEKDAY(A32,2)&lt;=5,Übersicht!$B$4,0)</f>
        <v>0</v>
      </c>
      <c r="F32" s="20" t="str">
        <f t="shared" si="0"/>
        <v/>
      </c>
      <c r="G32" s="21"/>
    </row>
    <row r="33" spans="1:7" x14ac:dyDescent="0.25">
      <c r="A33" s="16">
        <v>46019</v>
      </c>
      <c r="B33" s="17" t="s">
        <v>46</v>
      </c>
      <c r="C33" s="18"/>
      <c r="D33" s="19"/>
      <c r="E33" s="20">
        <f>IF(WEEKDAY(A33,2)&lt;=5,Übersicht!$B$4,0)</f>
        <v>0</v>
      </c>
      <c r="F33" s="20" t="str">
        <f t="shared" si="0"/>
        <v/>
      </c>
      <c r="G33" s="21"/>
    </row>
    <row r="34" spans="1:7" x14ac:dyDescent="0.25">
      <c r="A34" s="22">
        <v>46020</v>
      </c>
      <c r="B34" s="23" t="s">
        <v>47</v>
      </c>
      <c r="C34" s="24" t="s">
        <v>87</v>
      </c>
      <c r="D34" s="25"/>
      <c r="E34" s="11">
        <f>IF(WEEKDAY(A34,2)&lt;=5,Übersicht!$B$4,0)</f>
        <v>8</v>
      </c>
      <c r="F34" s="11">
        <f t="shared" si="0"/>
        <v>0</v>
      </c>
      <c r="G34" s="26"/>
    </row>
    <row r="35" spans="1:7" x14ac:dyDescent="0.25">
      <c r="A35" s="22">
        <v>46021</v>
      </c>
      <c r="B35" s="23" t="s">
        <v>48</v>
      </c>
      <c r="C35" s="24" t="s">
        <v>87</v>
      </c>
      <c r="D35" s="25"/>
      <c r="E35" s="11">
        <f>IF(WEEKDAY(A35,2)&lt;=5,Übersicht!$B$4,0)</f>
        <v>8</v>
      </c>
      <c r="F35" s="11">
        <f t="shared" si="0"/>
        <v>0</v>
      </c>
      <c r="G35" s="26"/>
    </row>
    <row r="36" spans="1:7" x14ac:dyDescent="0.25">
      <c r="A36" s="22">
        <v>46022</v>
      </c>
      <c r="B36" s="23" t="s">
        <v>49</v>
      </c>
      <c r="C36" s="24" t="s">
        <v>87</v>
      </c>
      <c r="D36" s="25"/>
      <c r="E36" s="11">
        <f>IF(WEEKDAY(A36,2)&lt;=5,Übersicht!$B$4,0)</f>
        <v>8</v>
      </c>
      <c r="F36" s="11">
        <f t="shared" si="0"/>
        <v>0</v>
      </c>
      <c r="G36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66</v>
      </c>
      <c r="E38" s="13">
        <f>SUM(E6:E36)</f>
        <v>184</v>
      </c>
      <c r="F38" s="13">
        <f>SUM(F6:F36)</f>
        <v>-6</v>
      </c>
      <c r="G38" s="27"/>
    </row>
    <row r="39" spans="1:7" x14ac:dyDescent="0.25">
      <c r="A39" s="6" t="s">
        <v>11</v>
      </c>
      <c r="B39" s="28">
        <f>COUNTIF(E6:E36,"&gt;0")</f>
        <v>23</v>
      </c>
    </row>
    <row r="40" spans="1:7" x14ac:dyDescent="0.25">
      <c r="A40" s="6" t="s">
        <v>16</v>
      </c>
      <c r="B40" s="28">
        <f>COUNTIF(C6:C36,"U")</f>
        <v>6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Übersicht!F26</f>
        <v>-53</v>
      </c>
    </row>
  </sheetData>
  <mergeCells count="1">
    <mergeCell ref="B2:D2"/>
  </mergeCells>
  <dataValidations count="1">
    <dataValidation type="list" allowBlank="1" sqref="C6:C36" xr:uid="{00000000-0002-0000-0B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B3" sqref="B3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75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22">
        <v>46023</v>
      </c>
      <c r="B6" s="23" t="s">
        <v>50</v>
      </c>
      <c r="C6" s="24" t="s">
        <v>56</v>
      </c>
      <c r="D6" s="25"/>
      <c r="E6" s="11">
        <f>IF(WEEKDAY(A6,2)&lt;=5,Übersicht!$B$4,0)</f>
        <v>8</v>
      </c>
      <c r="F6" s="11">
        <f t="shared" ref="F6:F36" si="0">IF(OR(C6="U",C6="K",C6="F",C6="G"),IF(D6="",0,D6),IF(D6="","",D6-E6))</f>
        <v>0</v>
      </c>
      <c r="G6" s="26" t="s">
        <v>76</v>
      </c>
    </row>
    <row r="7" spans="1:7" x14ac:dyDescent="0.25">
      <c r="A7" s="22">
        <v>46024</v>
      </c>
      <c r="B7" s="23" t="s">
        <v>51</v>
      </c>
      <c r="C7" s="24" t="s">
        <v>87</v>
      </c>
      <c r="D7" s="25"/>
      <c r="E7" s="11">
        <f>IF(WEEKDAY(A7,2)&lt;=5,Übersicht!$B$4,0)</f>
        <v>8</v>
      </c>
      <c r="F7" s="11">
        <f t="shared" si="0"/>
        <v>0</v>
      </c>
      <c r="G7" s="26"/>
    </row>
    <row r="8" spans="1:7" x14ac:dyDescent="0.25">
      <c r="A8" s="16">
        <v>46025</v>
      </c>
      <c r="B8" s="17" t="s">
        <v>45</v>
      </c>
      <c r="C8" s="18"/>
      <c r="D8" s="19"/>
      <c r="E8" s="20">
        <f>IF(WEEKDAY(A8,2)&lt;=5,Übersicht!$B$4,0)</f>
        <v>0</v>
      </c>
      <c r="F8" s="20" t="str">
        <f t="shared" si="0"/>
        <v/>
      </c>
      <c r="G8" s="21"/>
    </row>
    <row r="9" spans="1:7" x14ac:dyDescent="0.25">
      <c r="A9" s="16">
        <v>46026</v>
      </c>
      <c r="B9" s="17" t="s">
        <v>46</v>
      </c>
      <c r="C9" s="18"/>
      <c r="D9" s="19"/>
      <c r="E9" s="20">
        <f>IF(WEEKDAY(A9,2)&lt;=5,Übersicht!$B$4,0)</f>
        <v>0</v>
      </c>
      <c r="F9" s="20" t="str">
        <f t="shared" si="0"/>
        <v/>
      </c>
      <c r="G9" s="21"/>
    </row>
    <row r="10" spans="1:7" x14ac:dyDescent="0.25">
      <c r="A10" s="22">
        <v>46027</v>
      </c>
      <c r="B10" s="23" t="s">
        <v>47</v>
      </c>
      <c r="C10" s="24" t="s">
        <v>85</v>
      </c>
      <c r="D10" s="25">
        <v>8</v>
      </c>
      <c r="E10" s="11">
        <f>IF(WEEKDAY(A10,2)&lt;=5,Übersicht!$B$4,0)</f>
        <v>8</v>
      </c>
      <c r="F10" s="11">
        <f t="shared" si="0"/>
        <v>0</v>
      </c>
      <c r="G10" s="26"/>
    </row>
    <row r="11" spans="1:7" x14ac:dyDescent="0.25">
      <c r="A11" s="22">
        <v>46028</v>
      </c>
      <c r="B11" s="23" t="s">
        <v>48</v>
      </c>
      <c r="C11" s="24" t="s">
        <v>56</v>
      </c>
      <c r="D11" s="25"/>
      <c r="E11" s="11">
        <f>IF(WEEKDAY(A11,2)&lt;=5,Übersicht!$B$4,0)</f>
        <v>8</v>
      </c>
      <c r="F11" s="11">
        <f t="shared" si="0"/>
        <v>0</v>
      </c>
      <c r="G11" s="26" t="s">
        <v>77</v>
      </c>
    </row>
    <row r="12" spans="1:7" x14ac:dyDescent="0.25">
      <c r="A12" s="22">
        <v>46029</v>
      </c>
      <c r="B12" s="23" t="s">
        <v>49</v>
      </c>
      <c r="C12" s="24" t="s">
        <v>85</v>
      </c>
      <c r="D12" s="25">
        <v>4</v>
      </c>
      <c r="E12" s="11">
        <f>IF(WEEKDAY(A12,2)&lt;=5,Übersicht!$B$4,0)</f>
        <v>8</v>
      </c>
      <c r="F12" s="11">
        <f t="shared" si="0"/>
        <v>-4</v>
      </c>
      <c r="G12" s="26"/>
    </row>
    <row r="13" spans="1:7" x14ac:dyDescent="0.25">
      <c r="A13" s="22">
        <v>46030</v>
      </c>
      <c r="B13" s="23" t="s">
        <v>50</v>
      </c>
      <c r="C13" s="24" t="s">
        <v>88</v>
      </c>
      <c r="D13" s="25"/>
      <c r="E13" s="11">
        <f>IF(WEEKDAY(A13,2)&lt;=5,Übersicht!$B$4,0)</f>
        <v>8</v>
      </c>
      <c r="F13" s="11" t="str">
        <f t="shared" si="0"/>
        <v/>
      </c>
      <c r="G13" s="26" t="s">
        <v>92</v>
      </c>
    </row>
    <row r="14" spans="1:7" x14ac:dyDescent="0.25">
      <c r="A14" s="22">
        <v>46031</v>
      </c>
      <c r="B14" s="23" t="s">
        <v>51</v>
      </c>
      <c r="C14" s="24" t="s">
        <v>88</v>
      </c>
      <c r="D14" s="25"/>
      <c r="E14" s="11">
        <f>IF(WEEKDAY(A14,2)&lt;=5,Übersicht!$B$4,0)</f>
        <v>8</v>
      </c>
      <c r="F14" s="11" t="str">
        <f t="shared" si="0"/>
        <v/>
      </c>
      <c r="G14" s="26" t="s">
        <v>92</v>
      </c>
    </row>
    <row r="15" spans="1:7" x14ac:dyDescent="0.25">
      <c r="A15" s="16">
        <v>46032</v>
      </c>
      <c r="B15" s="17" t="s">
        <v>45</v>
      </c>
      <c r="C15" s="18"/>
      <c r="D15" s="19"/>
      <c r="E15" s="20">
        <f>IF(WEEKDAY(A15,2)&lt;=5,Übersicht!$B$4,0)</f>
        <v>0</v>
      </c>
      <c r="F15" s="20" t="str">
        <f t="shared" si="0"/>
        <v/>
      </c>
      <c r="G15" s="21"/>
    </row>
    <row r="16" spans="1:7" x14ac:dyDescent="0.25">
      <c r="A16" s="16">
        <v>46033</v>
      </c>
      <c r="B16" s="17" t="s">
        <v>46</v>
      </c>
      <c r="C16" s="18"/>
      <c r="D16" s="19"/>
      <c r="E16" s="20">
        <f>IF(WEEKDAY(A16,2)&lt;=5,Übersicht!$B$4,0)</f>
        <v>0</v>
      </c>
      <c r="F16" s="20" t="str">
        <f t="shared" si="0"/>
        <v/>
      </c>
      <c r="G16" s="21"/>
    </row>
    <row r="17" spans="1:7" x14ac:dyDescent="0.25">
      <c r="A17" s="22">
        <v>46034</v>
      </c>
      <c r="B17" s="23" t="s">
        <v>47</v>
      </c>
      <c r="C17" s="24" t="s">
        <v>88</v>
      </c>
      <c r="D17" s="25"/>
      <c r="E17" s="11">
        <f>IF(WEEKDAY(A17,2)&lt;=5,Übersicht!$B$4,0)</f>
        <v>8</v>
      </c>
      <c r="F17" s="11" t="str">
        <f t="shared" si="0"/>
        <v/>
      </c>
      <c r="G17" s="26" t="s">
        <v>92</v>
      </c>
    </row>
    <row r="18" spans="1:7" x14ac:dyDescent="0.25">
      <c r="A18" s="22">
        <v>46035</v>
      </c>
      <c r="B18" s="23" t="s">
        <v>48</v>
      </c>
      <c r="C18" s="24" t="s">
        <v>85</v>
      </c>
      <c r="D18" s="25">
        <v>8</v>
      </c>
      <c r="E18" s="11">
        <f>IF(WEEKDAY(A18,2)&lt;=5,Übersicht!$B$4,0)</f>
        <v>8</v>
      </c>
      <c r="F18" s="11">
        <f t="shared" si="0"/>
        <v>0</v>
      </c>
      <c r="G18" s="26"/>
    </row>
    <row r="19" spans="1:7" x14ac:dyDescent="0.25">
      <c r="A19" s="22">
        <v>46036</v>
      </c>
      <c r="B19" s="23" t="s">
        <v>49</v>
      </c>
      <c r="C19" s="24" t="s">
        <v>85</v>
      </c>
      <c r="D19" s="25">
        <v>6</v>
      </c>
      <c r="E19" s="11">
        <f>IF(WEEKDAY(A19,2)&lt;=5,Übersicht!$B$4,0)</f>
        <v>8</v>
      </c>
      <c r="F19" s="11">
        <f t="shared" si="0"/>
        <v>-2</v>
      </c>
      <c r="G19" s="26"/>
    </row>
    <row r="20" spans="1:7" x14ac:dyDescent="0.25">
      <c r="A20" s="22">
        <v>46037</v>
      </c>
      <c r="B20" s="23" t="s">
        <v>50</v>
      </c>
      <c r="C20" s="24" t="s">
        <v>88</v>
      </c>
      <c r="D20" s="25"/>
      <c r="E20" s="11">
        <f>IF(WEEKDAY(A20,2)&lt;=5,Übersicht!$B$4,0)</f>
        <v>8</v>
      </c>
      <c r="F20" s="11" t="str">
        <f t="shared" si="0"/>
        <v/>
      </c>
      <c r="G20" s="26" t="s">
        <v>92</v>
      </c>
    </row>
    <row r="21" spans="1:7" x14ac:dyDescent="0.25">
      <c r="A21" s="22">
        <v>46038</v>
      </c>
      <c r="B21" s="23" t="s">
        <v>51</v>
      </c>
      <c r="C21" s="24" t="s">
        <v>88</v>
      </c>
      <c r="D21" s="25"/>
      <c r="E21" s="11">
        <f>IF(WEEKDAY(A21,2)&lt;=5,Übersicht!$B$4,0)</f>
        <v>8</v>
      </c>
      <c r="F21" s="11" t="str">
        <f t="shared" si="0"/>
        <v/>
      </c>
      <c r="G21" s="26" t="s">
        <v>92</v>
      </c>
    </row>
    <row r="22" spans="1:7" x14ac:dyDescent="0.25">
      <c r="A22" s="16">
        <v>46039</v>
      </c>
      <c r="B22" s="17" t="s">
        <v>45</v>
      </c>
      <c r="C22" s="18"/>
      <c r="D22" s="19"/>
      <c r="E22" s="20">
        <f>IF(WEEKDAY(A22,2)&lt;=5,Übersicht!$B$4,0)</f>
        <v>0</v>
      </c>
      <c r="F22" s="20" t="str">
        <f t="shared" si="0"/>
        <v/>
      </c>
      <c r="G22" s="21"/>
    </row>
    <row r="23" spans="1:7" x14ac:dyDescent="0.25">
      <c r="A23" s="16">
        <v>46040</v>
      </c>
      <c r="B23" s="17" t="s">
        <v>46</v>
      </c>
      <c r="C23" s="18"/>
      <c r="D23" s="19"/>
      <c r="E23" s="20">
        <f>IF(WEEKDAY(A23,2)&lt;=5,Übersicht!$B$4,0)</f>
        <v>0</v>
      </c>
      <c r="F23" s="20" t="str">
        <f t="shared" si="0"/>
        <v/>
      </c>
      <c r="G23" s="21"/>
    </row>
    <row r="24" spans="1:7" x14ac:dyDescent="0.25">
      <c r="A24" s="22">
        <v>46041</v>
      </c>
      <c r="B24" s="23" t="s">
        <v>47</v>
      </c>
      <c r="C24" s="24" t="s">
        <v>88</v>
      </c>
      <c r="D24" s="25"/>
      <c r="E24" s="11">
        <f>IF(WEEKDAY(A24,2)&lt;=5,Übersicht!$B$4,0)</f>
        <v>8</v>
      </c>
      <c r="F24" s="11" t="str">
        <f t="shared" si="0"/>
        <v/>
      </c>
      <c r="G24" s="26" t="s">
        <v>92</v>
      </c>
    </row>
    <row r="25" spans="1:7" x14ac:dyDescent="0.25">
      <c r="A25" s="22">
        <v>46042</v>
      </c>
      <c r="B25" s="23" t="s">
        <v>48</v>
      </c>
      <c r="C25" s="24" t="s">
        <v>88</v>
      </c>
      <c r="D25" s="25"/>
      <c r="E25" s="11">
        <f>IF(WEEKDAY(A25,2)&lt;=5,Übersicht!$B$4,0)</f>
        <v>8</v>
      </c>
      <c r="F25" s="11" t="str">
        <f t="shared" si="0"/>
        <v/>
      </c>
      <c r="G25" s="26" t="s">
        <v>92</v>
      </c>
    </row>
    <row r="26" spans="1:7" x14ac:dyDescent="0.25">
      <c r="A26" s="22">
        <v>46043</v>
      </c>
      <c r="B26" s="23" t="s">
        <v>49</v>
      </c>
      <c r="C26" s="24" t="s">
        <v>88</v>
      </c>
      <c r="D26" s="25"/>
      <c r="E26" s="11">
        <f>IF(WEEKDAY(A26,2)&lt;=5,Übersicht!$B$4,0)</f>
        <v>8</v>
      </c>
      <c r="F26" s="11" t="str">
        <f t="shared" si="0"/>
        <v/>
      </c>
      <c r="G26" s="26" t="s">
        <v>92</v>
      </c>
    </row>
    <row r="27" spans="1:7" x14ac:dyDescent="0.25">
      <c r="A27" s="22">
        <v>46044</v>
      </c>
      <c r="B27" s="23" t="s">
        <v>50</v>
      </c>
      <c r="C27" s="24" t="s">
        <v>88</v>
      </c>
      <c r="D27" s="25"/>
      <c r="E27" s="11">
        <f>IF(WEEKDAY(A27,2)&lt;=5,Übersicht!$B$4,0)</f>
        <v>8</v>
      </c>
      <c r="F27" s="11" t="str">
        <f t="shared" si="0"/>
        <v/>
      </c>
      <c r="G27" s="26" t="s">
        <v>92</v>
      </c>
    </row>
    <row r="28" spans="1:7" x14ac:dyDescent="0.25">
      <c r="A28" s="22">
        <v>46045</v>
      </c>
      <c r="B28" s="23" t="s">
        <v>51</v>
      </c>
      <c r="C28" s="24" t="s">
        <v>85</v>
      </c>
      <c r="D28" s="25">
        <v>8</v>
      </c>
      <c r="E28" s="11">
        <f>IF(WEEKDAY(A28,2)&lt;=5,Übersicht!$B$4,0)</f>
        <v>8</v>
      </c>
      <c r="F28" s="11">
        <f t="shared" si="0"/>
        <v>0</v>
      </c>
      <c r="G28" s="26"/>
    </row>
    <row r="29" spans="1:7" x14ac:dyDescent="0.25">
      <c r="A29" s="16">
        <v>46046</v>
      </c>
      <c r="B29" s="17" t="s">
        <v>45</v>
      </c>
      <c r="C29" s="18"/>
      <c r="D29" s="19"/>
      <c r="E29" s="20">
        <f>IF(WEEKDAY(A29,2)&lt;=5,Übersicht!$B$4,0)</f>
        <v>0</v>
      </c>
      <c r="F29" s="20" t="str">
        <f t="shared" si="0"/>
        <v/>
      </c>
      <c r="G29" s="21"/>
    </row>
    <row r="30" spans="1:7" x14ac:dyDescent="0.25">
      <c r="A30" s="16">
        <v>46047</v>
      </c>
      <c r="B30" s="17" t="s">
        <v>46</v>
      </c>
      <c r="C30" s="18"/>
      <c r="D30" s="19"/>
      <c r="E30" s="20">
        <f>IF(WEEKDAY(A30,2)&lt;=5,Übersicht!$B$4,0)</f>
        <v>0</v>
      </c>
      <c r="F30" s="20" t="str">
        <f t="shared" si="0"/>
        <v/>
      </c>
      <c r="G30" s="21"/>
    </row>
    <row r="31" spans="1:7" x14ac:dyDescent="0.25">
      <c r="A31" s="22">
        <v>46048</v>
      </c>
      <c r="B31" s="23" t="s">
        <v>47</v>
      </c>
      <c r="C31" s="24" t="s">
        <v>85</v>
      </c>
      <c r="D31" s="25">
        <v>4</v>
      </c>
      <c r="E31" s="11">
        <f>IF(WEEKDAY(A31,2)&lt;=5,Übersicht!$B$4,0)</f>
        <v>8</v>
      </c>
      <c r="F31" s="11">
        <f t="shared" si="0"/>
        <v>-4</v>
      </c>
      <c r="G31" s="26"/>
    </row>
    <row r="32" spans="1:7" x14ac:dyDescent="0.25">
      <c r="A32" s="22">
        <v>46049</v>
      </c>
      <c r="B32" s="23" t="s">
        <v>48</v>
      </c>
      <c r="C32" s="24" t="s">
        <v>85</v>
      </c>
      <c r="D32" s="25">
        <v>6</v>
      </c>
      <c r="E32" s="11">
        <f>IF(WEEKDAY(A32,2)&lt;=5,Übersicht!$B$4,0)</f>
        <v>8</v>
      </c>
      <c r="F32" s="11">
        <f t="shared" si="0"/>
        <v>-2</v>
      </c>
      <c r="G32" s="26"/>
    </row>
    <row r="33" spans="1:7" x14ac:dyDescent="0.25">
      <c r="A33" s="22">
        <v>46050</v>
      </c>
      <c r="B33" s="23" t="s">
        <v>49</v>
      </c>
      <c r="C33" s="24" t="s">
        <v>88</v>
      </c>
      <c r="D33" s="25"/>
      <c r="E33" s="11">
        <f>IF(WEEKDAY(A33,2)&lt;=5,Übersicht!$B$4,0)</f>
        <v>8</v>
      </c>
      <c r="F33" s="11" t="str">
        <f t="shared" si="0"/>
        <v/>
      </c>
      <c r="G33" s="26" t="s">
        <v>92</v>
      </c>
    </row>
    <row r="34" spans="1:7" x14ac:dyDescent="0.25">
      <c r="A34" s="22">
        <v>46051</v>
      </c>
      <c r="B34" s="23" t="s">
        <v>50</v>
      </c>
      <c r="C34" s="24" t="s">
        <v>85</v>
      </c>
      <c r="D34" s="25">
        <v>8</v>
      </c>
      <c r="E34" s="11">
        <f>IF(WEEKDAY(A34,2)&lt;=5,Übersicht!$B$4,0)</f>
        <v>8</v>
      </c>
      <c r="F34" s="11">
        <f t="shared" si="0"/>
        <v>0</v>
      </c>
      <c r="G34" s="26"/>
    </row>
    <row r="35" spans="1:7" x14ac:dyDescent="0.25">
      <c r="A35" s="22">
        <v>46052</v>
      </c>
      <c r="B35" s="23" t="s">
        <v>51</v>
      </c>
      <c r="C35" s="24" t="s">
        <v>87</v>
      </c>
      <c r="D35" s="25"/>
      <c r="E35" s="11">
        <f>IF(WEEKDAY(A35,2)&lt;=5,Übersicht!$B$4,0)</f>
        <v>8</v>
      </c>
      <c r="F35" s="11">
        <f t="shared" si="0"/>
        <v>0</v>
      </c>
      <c r="G35" s="26"/>
    </row>
    <row r="36" spans="1:7" x14ac:dyDescent="0.25">
      <c r="A36" s="16">
        <v>46053</v>
      </c>
      <c r="B36" s="17" t="s">
        <v>45</v>
      </c>
      <c r="C36" s="18"/>
      <c r="D36" s="19"/>
      <c r="E36" s="20">
        <f>IF(WEEKDAY(A36,2)&lt;=5,Übersicht!$B$4,0)</f>
        <v>0</v>
      </c>
      <c r="F36" s="20" t="str">
        <f t="shared" si="0"/>
        <v/>
      </c>
      <c r="G36" s="21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84</v>
      </c>
      <c r="E38" s="13">
        <f>SUM(E6:E36)</f>
        <v>176</v>
      </c>
      <c r="F38" s="13">
        <f>SUM(F6:F36)</f>
        <v>-12</v>
      </c>
      <c r="G38" s="27"/>
    </row>
    <row r="39" spans="1:7" x14ac:dyDescent="0.25">
      <c r="A39" s="6" t="s">
        <v>11</v>
      </c>
      <c r="B39" s="28">
        <f>COUNTIF(E6:E36,"&gt;0")</f>
        <v>22</v>
      </c>
    </row>
    <row r="40" spans="1:7" x14ac:dyDescent="0.25">
      <c r="A40" s="6" t="s">
        <v>16</v>
      </c>
      <c r="B40" s="28">
        <f>COUNTIF(C6:C36,"U")</f>
        <v>2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Übersicht!F27</f>
        <v>-65</v>
      </c>
    </row>
  </sheetData>
  <mergeCells count="1">
    <mergeCell ref="B2:D2"/>
  </mergeCells>
  <dataValidations count="1">
    <dataValidation type="list" allowBlank="1" sqref="C6:C36" xr:uid="{00000000-0002-0000-0C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G7" sqref="G7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78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16">
        <v>46054</v>
      </c>
      <c r="B6" s="17" t="s">
        <v>46</v>
      </c>
      <c r="C6" s="18"/>
      <c r="D6" s="19"/>
      <c r="E6" s="20">
        <f>IF(WEEKDAY(A6,2)&lt;=5,Übersicht!$B$4,0)</f>
        <v>0</v>
      </c>
      <c r="F6" s="20" t="str">
        <f t="shared" ref="F6:F33" si="0">IF(OR(C6="U",C6="K",C6="F",C6="G"),IF(D6="",0,D6),IF(D6="","",D6-E6))</f>
        <v/>
      </c>
      <c r="G6" s="21"/>
    </row>
    <row r="7" spans="1:7" x14ac:dyDescent="0.25">
      <c r="A7" s="22">
        <v>46055</v>
      </c>
      <c r="B7" s="23" t="s">
        <v>47</v>
      </c>
      <c r="C7" s="24" t="s">
        <v>88</v>
      </c>
      <c r="D7" s="25"/>
      <c r="E7" s="11">
        <f>IF(WEEKDAY(A7,2)&lt;=5,Übersicht!$B$4,0)</f>
        <v>8</v>
      </c>
      <c r="F7" s="11" t="str">
        <f t="shared" si="0"/>
        <v/>
      </c>
      <c r="G7" s="26" t="s">
        <v>94</v>
      </c>
    </row>
    <row r="8" spans="1:7" x14ac:dyDescent="0.25">
      <c r="A8" s="22">
        <v>46056</v>
      </c>
      <c r="B8" s="23" t="s">
        <v>48</v>
      </c>
      <c r="C8" s="24" t="s">
        <v>88</v>
      </c>
      <c r="D8" s="25"/>
      <c r="E8" s="11">
        <f>IF(WEEKDAY(A8,2)&lt;=5,Übersicht!$B$4,0)</f>
        <v>8</v>
      </c>
      <c r="F8" s="11" t="str">
        <f t="shared" si="0"/>
        <v/>
      </c>
      <c r="G8" s="26" t="s">
        <v>93</v>
      </c>
    </row>
    <row r="9" spans="1:7" x14ac:dyDescent="0.25">
      <c r="A9" s="22">
        <v>46057</v>
      </c>
      <c r="B9" s="23" t="s">
        <v>49</v>
      </c>
      <c r="C9" s="24" t="s">
        <v>85</v>
      </c>
      <c r="D9" s="25">
        <v>4</v>
      </c>
      <c r="E9" s="11">
        <f>IF(WEEKDAY(A9,2)&lt;=5,Übersicht!$B$4,0)</f>
        <v>8</v>
      </c>
      <c r="F9" s="11">
        <f t="shared" si="0"/>
        <v>-4</v>
      </c>
      <c r="G9" s="26"/>
    </row>
    <row r="10" spans="1:7" x14ac:dyDescent="0.25">
      <c r="A10" s="22">
        <v>46058</v>
      </c>
      <c r="B10" s="23" t="s">
        <v>50</v>
      </c>
      <c r="C10" s="24" t="s">
        <v>85</v>
      </c>
      <c r="D10" s="25">
        <v>8</v>
      </c>
      <c r="E10" s="11">
        <f>IF(WEEKDAY(A10,2)&lt;=5,Übersicht!$B$4,0)</f>
        <v>8</v>
      </c>
      <c r="F10" s="11">
        <f t="shared" si="0"/>
        <v>0</v>
      </c>
      <c r="G10" s="26"/>
    </row>
    <row r="11" spans="1:7" x14ac:dyDescent="0.25">
      <c r="A11" s="22">
        <v>46059</v>
      </c>
      <c r="B11" s="23" t="s">
        <v>51</v>
      </c>
      <c r="C11" s="24" t="s">
        <v>85</v>
      </c>
      <c r="D11" s="25">
        <v>8</v>
      </c>
      <c r="E11" s="11">
        <f>IF(WEEKDAY(A11,2)&lt;=5,Übersicht!$B$4,0)</f>
        <v>8</v>
      </c>
      <c r="F11" s="11">
        <f t="shared" si="0"/>
        <v>0</v>
      </c>
      <c r="G11" s="26"/>
    </row>
    <row r="12" spans="1:7" x14ac:dyDescent="0.25">
      <c r="A12" s="16">
        <v>46060</v>
      </c>
      <c r="B12" s="17" t="s">
        <v>45</v>
      </c>
      <c r="C12" s="18"/>
      <c r="D12" s="19"/>
      <c r="E12" s="20">
        <f>IF(WEEKDAY(A12,2)&lt;=5,Übersicht!$B$4,0)</f>
        <v>0</v>
      </c>
      <c r="F12" s="20" t="str">
        <f t="shared" si="0"/>
        <v/>
      </c>
      <c r="G12" s="21"/>
    </row>
    <row r="13" spans="1:7" x14ac:dyDescent="0.25">
      <c r="A13" s="16">
        <v>46061</v>
      </c>
      <c r="B13" s="17" t="s">
        <v>46</v>
      </c>
      <c r="C13" s="18"/>
      <c r="D13" s="19"/>
      <c r="E13" s="20">
        <f>IF(WEEKDAY(A13,2)&lt;=5,Übersicht!$B$4,0)</f>
        <v>0</v>
      </c>
      <c r="F13" s="20" t="str">
        <f t="shared" si="0"/>
        <v/>
      </c>
      <c r="G13" s="21"/>
    </row>
    <row r="14" spans="1:7" x14ac:dyDescent="0.25">
      <c r="A14" s="22">
        <v>46062</v>
      </c>
      <c r="B14" s="23" t="s">
        <v>47</v>
      </c>
      <c r="C14" s="24" t="s">
        <v>88</v>
      </c>
      <c r="D14" s="25"/>
      <c r="E14" s="11">
        <f>IF(WEEKDAY(A14,2)&lt;=5,Übersicht!$B$4,0)</f>
        <v>8</v>
      </c>
      <c r="F14" s="11" t="str">
        <f t="shared" si="0"/>
        <v/>
      </c>
      <c r="G14" s="26" t="s">
        <v>94</v>
      </c>
    </row>
    <row r="15" spans="1:7" x14ac:dyDescent="0.25">
      <c r="A15" s="22">
        <v>46063</v>
      </c>
      <c r="B15" s="23" t="s">
        <v>48</v>
      </c>
      <c r="C15" s="24" t="s">
        <v>88</v>
      </c>
      <c r="D15" s="25"/>
      <c r="E15" s="11">
        <f>IF(WEEKDAY(A15,2)&lt;=5,Übersicht!$B$4,0)</f>
        <v>8</v>
      </c>
      <c r="F15" s="11" t="str">
        <f t="shared" si="0"/>
        <v/>
      </c>
      <c r="G15" s="26" t="s">
        <v>94</v>
      </c>
    </row>
    <row r="16" spans="1:7" x14ac:dyDescent="0.25">
      <c r="A16" s="22">
        <v>46064</v>
      </c>
      <c r="B16" s="23" t="s">
        <v>49</v>
      </c>
      <c r="C16" s="24" t="s">
        <v>85</v>
      </c>
      <c r="D16" s="25">
        <v>8</v>
      </c>
      <c r="E16" s="11">
        <f>IF(WEEKDAY(A16,2)&lt;=5,Übersicht!$B$4,0)</f>
        <v>8</v>
      </c>
      <c r="F16" s="11">
        <f t="shared" si="0"/>
        <v>0</v>
      </c>
      <c r="G16" s="26"/>
    </row>
    <row r="17" spans="1:7" x14ac:dyDescent="0.25">
      <c r="A17" s="22">
        <v>46065</v>
      </c>
      <c r="B17" s="23" t="s">
        <v>50</v>
      </c>
      <c r="C17" s="24" t="s">
        <v>85</v>
      </c>
      <c r="D17" s="25">
        <v>8</v>
      </c>
      <c r="E17" s="11">
        <f>IF(WEEKDAY(A17,2)&lt;=5,Übersicht!$B$4,0)</f>
        <v>8</v>
      </c>
      <c r="F17" s="11">
        <f t="shared" si="0"/>
        <v>0</v>
      </c>
      <c r="G17" s="26"/>
    </row>
    <row r="18" spans="1:7" x14ac:dyDescent="0.25">
      <c r="A18" s="22">
        <v>46066</v>
      </c>
      <c r="B18" s="23" t="s">
        <v>51</v>
      </c>
      <c r="C18" s="24" t="s">
        <v>88</v>
      </c>
      <c r="D18" s="25"/>
      <c r="E18" s="11">
        <f>IF(WEEKDAY(A18,2)&lt;=5,Übersicht!$B$4,0)</f>
        <v>8</v>
      </c>
      <c r="F18" s="11" t="str">
        <f t="shared" si="0"/>
        <v/>
      </c>
      <c r="G18" s="26" t="s">
        <v>94</v>
      </c>
    </row>
    <row r="19" spans="1:7" x14ac:dyDescent="0.25">
      <c r="A19" s="16">
        <v>46067</v>
      </c>
      <c r="B19" s="17" t="s">
        <v>45</v>
      </c>
      <c r="C19" s="18"/>
      <c r="D19" s="19"/>
      <c r="E19" s="20">
        <f>IF(WEEKDAY(A19,2)&lt;=5,Übersicht!$B$4,0)</f>
        <v>0</v>
      </c>
      <c r="F19" s="20" t="str">
        <f t="shared" si="0"/>
        <v/>
      </c>
      <c r="G19" s="21"/>
    </row>
    <row r="20" spans="1:7" x14ac:dyDescent="0.25">
      <c r="A20" s="16">
        <v>46068</v>
      </c>
      <c r="B20" s="17" t="s">
        <v>46</v>
      </c>
      <c r="C20" s="18"/>
      <c r="D20" s="19"/>
      <c r="E20" s="20">
        <f>IF(WEEKDAY(A20,2)&lt;=5,Übersicht!$B$4,0)</f>
        <v>0</v>
      </c>
      <c r="F20" s="20" t="str">
        <f t="shared" si="0"/>
        <v/>
      </c>
      <c r="G20" s="21"/>
    </row>
    <row r="21" spans="1:7" x14ac:dyDescent="0.25">
      <c r="A21" s="22">
        <v>46069</v>
      </c>
      <c r="B21" s="23" t="s">
        <v>47</v>
      </c>
      <c r="C21" s="24" t="s">
        <v>88</v>
      </c>
      <c r="D21" s="25"/>
      <c r="E21" s="11">
        <f>IF(WEEKDAY(A21,2)&lt;=5,Übersicht!$B$4,0)</f>
        <v>8</v>
      </c>
      <c r="F21" s="11" t="str">
        <f t="shared" si="0"/>
        <v/>
      </c>
      <c r="G21" s="26" t="s">
        <v>94</v>
      </c>
    </row>
    <row r="22" spans="1:7" x14ac:dyDescent="0.25">
      <c r="A22" s="22">
        <v>46070</v>
      </c>
      <c r="B22" s="23" t="s">
        <v>48</v>
      </c>
      <c r="C22" s="24" t="s">
        <v>85</v>
      </c>
      <c r="D22" s="25">
        <v>7</v>
      </c>
      <c r="E22" s="11">
        <f>IF(WEEKDAY(A22,2)&lt;=5,Übersicht!$B$4,0)</f>
        <v>8</v>
      </c>
      <c r="F22" s="11">
        <f t="shared" si="0"/>
        <v>-1</v>
      </c>
      <c r="G22" s="26"/>
    </row>
    <row r="23" spans="1:7" x14ac:dyDescent="0.25">
      <c r="A23" s="22">
        <v>46071</v>
      </c>
      <c r="B23" s="23" t="s">
        <v>49</v>
      </c>
      <c r="C23" s="24" t="s">
        <v>85</v>
      </c>
      <c r="D23" s="25">
        <v>2</v>
      </c>
      <c r="E23" s="11">
        <f>IF(WEEKDAY(A23,2)&lt;=5,Übersicht!$B$4,0)</f>
        <v>8</v>
      </c>
      <c r="F23" s="11">
        <f t="shared" si="0"/>
        <v>-6</v>
      </c>
      <c r="G23" s="26"/>
    </row>
    <row r="24" spans="1:7" x14ac:dyDescent="0.25">
      <c r="A24" s="22">
        <v>46072</v>
      </c>
      <c r="B24" s="23" t="s">
        <v>50</v>
      </c>
      <c r="C24" s="24" t="s">
        <v>85</v>
      </c>
      <c r="D24" s="25">
        <v>8</v>
      </c>
      <c r="E24" s="11">
        <f>IF(WEEKDAY(A24,2)&lt;=5,Übersicht!$B$4,0)</f>
        <v>8</v>
      </c>
      <c r="F24" s="11">
        <f t="shared" si="0"/>
        <v>0</v>
      </c>
      <c r="G24" s="26"/>
    </row>
    <row r="25" spans="1:7" x14ac:dyDescent="0.25">
      <c r="A25" s="22">
        <v>46073</v>
      </c>
      <c r="B25" s="23" t="s">
        <v>51</v>
      </c>
      <c r="C25" s="24" t="s">
        <v>85</v>
      </c>
      <c r="D25" s="25">
        <v>3</v>
      </c>
      <c r="E25" s="11">
        <f>IF(WEEKDAY(A25,2)&lt;=5,Übersicht!$B$4,0)</f>
        <v>8</v>
      </c>
      <c r="F25" s="11">
        <f t="shared" si="0"/>
        <v>-5</v>
      </c>
      <c r="G25" s="26"/>
    </row>
    <row r="26" spans="1:7" x14ac:dyDescent="0.25">
      <c r="A26" s="16">
        <v>46074</v>
      </c>
      <c r="B26" s="17" t="s">
        <v>45</v>
      </c>
      <c r="C26" s="18"/>
      <c r="D26" s="19"/>
      <c r="E26" s="20">
        <f>IF(WEEKDAY(A26,2)&lt;=5,Übersicht!$B$4,0)</f>
        <v>0</v>
      </c>
      <c r="F26" s="20" t="str">
        <f t="shared" si="0"/>
        <v/>
      </c>
      <c r="G26" s="21"/>
    </row>
    <row r="27" spans="1:7" x14ac:dyDescent="0.25">
      <c r="A27" s="16">
        <v>46075</v>
      </c>
      <c r="B27" s="17" t="s">
        <v>46</v>
      </c>
      <c r="C27" s="18"/>
      <c r="D27" s="19"/>
      <c r="E27" s="20">
        <f>IF(WEEKDAY(A27,2)&lt;=5,Übersicht!$B$4,0)</f>
        <v>0</v>
      </c>
      <c r="F27" s="20" t="str">
        <f t="shared" si="0"/>
        <v/>
      </c>
      <c r="G27" s="21"/>
    </row>
    <row r="28" spans="1:7" x14ac:dyDescent="0.25">
      <c r="A28" s="22">
        <v>46076</v>
      </c>
      <c r="B28" s="23" t="s">
        <v>47</v>
      </c>
      <c r="C28" s="24" t="s">
        <v>88</v>
      </c>
      <c r="D28" s="25"/>
      <c r="E28" s="11">
        <f>IF(WEEKDAY(A28,2)&lt;=5,Übersicht!$B$4,0)</f>
        <v>8</v>
      </c>
      <c r="F28" s="11" t="str">
        <f t="shared" si="0"/>
        <v/>
      </c>
      <c r="G28" s="26" t="s">
        <v>94</v>
      </c>
    </row>
    <row r="29" spans="1:7" x14ac:dyDescent="0.25">
      <c r="A29" s="22">
        <v>46077</v>
      </c>
      <c r="B29" s="23" t="s">
        <v>48</v>
      </c>
      <c r="C29" s="24" t="s">
        <v>85</v>
      </c>
      <c r="D29" s="25">
        <v>6</v>
      </c>
      <c r="E29" s="11">
        <f>IF(WEEKDAY(A29,2)&lt;=5,Übersicht!$B$4,0)</f>
        <v>8</v>
      </c>
      <c r="F29" s="11">
        <f t="shared" si="0"/>
        <v>-2</v>
      </c>
      <c r="G29" s="26"/>
    </row>
    <row r="30" spans="1:7" x14ac:dyDescent="0.25">
      <c r="A30" s="22">
        <v>46078</v>
      </c>
      <c r="B30" s="23" t="s">
        <v>49</v>
      </c>
      <c r="C30" s="24" t="s">
        <v>85</v>
      </c>
      <c r="D30" s="25">
        <v>2</v>
      </c>
      <c r="E30" s="11">
        <f>IF(WEEKDAY(A30,2)&lt;=5,Übersicht!$B$4,0)</f>
        <v>8</v>
      </c>
      <c r="F30" s="11">
        <f t="shared" si="0"/>
        <v>-6</v>
      </c>
      <c r="G30" s="26"/>
    </row>
    <row r="31" spans="1:7" x14ac:dyDescent="0.25">
      <c r="A31" s="22">
        <v>46079</v>
      </c>
      <c r="B31" s="23" t="s">
        <v>50</v>
      </c>
      <c r="C31" s="24" t="s">
        <v>85</v>
      </c>
      <c r="D31" s="25">
        <v>8</v>
      </c>
      <c r="E31" s="11">
        <f>IF(WEEKDAY(A31,2)&lt;=5,Übersicht!$B$4,0)</f>
        <v>8</v>
      </c>
      <c r="F31" s="11">
        <f t="shared" si="0"/>
        <v>0</v>
      </c>
      <c r="G31" s="26"/>
    </row>
    <row r="32" spans="1:7" x14ac:dyDescent="0.25">
      <c r="A32" s="22">
        <v>46080</v>
      </c>
      <c r="B32" s="23" t="s">
        <v>51</v>
      </c>
      <c r="C32" s="24" t="s">
        <v>88</v>
      </c>
      <c r="D32" s="25"/>
      <c r="E32" s="11">
        <f>IF(WEEKDAY(A32,2)&lt;=5,Übersicht!$B$4,0)</f>
        <v>8</v>
      </c>
      <c r="F32" s="11" t="str">
        <f t="shared" si="0"/>
        <v/>
      </c>
      <c r="G32" s="26" t="s">
        <v>94</v>
      </c>
    </row>
    <row r="33" spans="1:7" x14ac:dyDescent="0.25">
      <c r="A33" s="16">
        <v>46081</v>
      </c>
      <c r="B33" s="17" t="s">
        <v>45</v>
      </c>
      <c r="C33" s="18"/>
      <c r="D33" s="19"/>
      <c r="E33" s="20">
        <f>IF(WEEKDAY(A33,2)&lt;=5,Übersicht!$B$4,0)</f>
        <v>0</v>
      </c>
      <c r="F33" s="20" t="str">
        <f t="shared" si="0"/>
        <v/>
      </c>
      <c r="G33" s="21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72</v>
      </c>
      <c r="E38" s="13">
        <f>SUM(E6:E36)</f>
        <v>160</v>
      </c>
      <c r="F38" s="13">
        <f>SUM(F6:F36)</f>
        <v>-24</v>
      </c>
      <c r="G38" s="27"/>
    </row>
    <row r="39" spans="1:7" x14ac:dyDescent="0.25">
      <c r="A39" s="6" t="s">
        <v>11</v>
      </c>
      <c r="B39" s="28">
        <f>COUNTIF(E6:E36,"&gt;0")</f>
        <v>20</v>
      </c>
    </row>
    <row r="40" spans="1:7" x14ac:dyDescent="0.25">
      <c r="A40" s="6" t="s">
        <v>16</v>
      </c>
      <c r="B40" s="28">
        <f>COUNTIF(C6:C36,"U")</f>
        <v>0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Übersicht!F28</f>
        <v>-89</v>
      </c>
    </row>
  </sheetData>
  <mergeCells count="1">
    <mergeCell ref="B2:D2"/>
  </mergeCells>
  <dataValidations count="1">
    <dataValidation type="list" allowBlank="1" sqref="C6:C33" xr:uid="{00000000-0002-0000-0D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G7" sqref="G7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79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16">
        <v>46082</v>
      </c>
      <c r="B6" s="17" t="s">
        <v>46</v>
      </c>
      <c r="C6" s="18"/>
      <c r="D6" s="19"/>
      <c r="E6" s="20">
        <f>IF(WEEKDAY(A6,2)&lt;=5,Übersicht!$B$4,0)</f>
        <v>0</v>
      </c>
      <c r="F6" s="20" t="str">
        <f t="shared" ref="F6:F36" si="0">IF(OR(C6="U",C6="K",C6="F",C6="G"),IF(D6="",0,D6),IF(D6="","",D6-E6))</f>
        <v/>
      </c>
      <c r="G6" s="21"/>
    </row>
    <row r="7" spans="1:7" x14ac:dyDescent="0.25">
      <c r="A7" s="22">
        <v>46083</v>
      </c>
      <c r="B7" s="23" t="s">
        <v>47</v>
      </c>
      <c r="C7" s="24" t="s">
        <v>88</v>
      </c>
      <c r="D7" s="25"/>
      <c r="E7" s="11">
        <f>IF(WEEKDAY(A7,2)&lt;=5,Übersicht!$B$4,0)</f>
        <v>8</v>
      </c>
      <c r="F7" s="11" t="str">
        <f t="shared" si="0"/>
        <v/>
      </c>
      <c r="G7" s="26" t="s">
        <v>94</v>
      </c>
    </row>
    <row r="8" spans="1:7" x14ac:dyDescent="0.25">
      <c r="A8" s="22">
        <v>46084</v>
      </c>
      <c r="B8" s="23" t="s">
        <v>48</v>
      </c>
      <c r="C8" s="24" t="s">
        <v>85</v>
      </c>
      <c r="D8" s="25">
        <v>4</v>
      </c>
      <c r="E8" s="11">
        <f>IF(WEEKDAY(A8,2)&lt;=5,Übersicht!$B$4,0)</f>
        <v>8</v>
      </c>
      <c r="F8" s="11">
        <f t="shared" si="0"/>
        <v>-4</v>
      </c>
      <c r="G8" s="26"/>
    </row>
    <row r="9" spans="1:7" x14ac:dyDescent="0.25">
      <c r="A9" s="22">
        <v>46085</v>
      </c>
      <c r="B9" s="23" t="s">
        <v>49</v>
      </c>
      <c r="C9" s="24" t="s">
        <v>85</v>
      </c>
      <c r="D9" s="25">
        <v>5</v>
      </c>
      <c r="E9" s="11">
        <f>IF(WEEKDAY(A9,2)&lt;=5,Übersicht!$B$4,0)</f>
        <v>8</v>
      </c>
      <c r="F9" s="11">
        <f t="shared" si="0"/>
        <v>-3</v>
      </c>
      <c r="G9" s="26"/>
    </row>
    <row r="10" spans="1:7" x14ac:dyDescent="0.25">
      <c r="A10" s="22">
        <v>46086</v>
      </c>
      <c r="B10" s="23" t="s">
        <v>50</v>
      </c>
      <c r="C10" s="24" t="s">
        <v>85</v>
      </c>
      <c r="D10" s="25">
        <v>8</v>
      </c>
      <c r="E10" s="11">
        <f>IF(WEEKDAY(A10,2)&lt;=5,Übersicht!$B$4,0)</f>
        <v>8</v>
      </c>
      <c r="F10" s="11">
        <f t="shared" si="0"/>
        <v>0</v>
      </c>
      <c r="G10" s="26"/>
    </row>
    <row r="11" spans="1:7" x14ac:dyDescent="0.25">
      <c r="A11" s="22">
        <v>46087</v>
      </c>
      <c r="B11" s="23" t="s">
        <v>51</v>
      </c>
      <c r="C11" s="24" t="s">
        <v>85</v>
      </c>
      <c r="D11" s="25">
        <v>4</v>
      </c>
      <c r="E11" s="11">
        <f>IF(WEEKDAY(A11,2)&lt;=5,Übersicht!$B$4,0)</f>
        <v>8</v>
      </c>
      <c r="F11" s="11">
        <f t="shared" si="0"/>
        <v>-4</v>
      </c>
      <c r="G11" s="26"/>
    </row>
    <row r="12" spans="1:7" x14ac:dyDescent="0.25">
      <c r="A12" s="16">
        <v>46088</v>
      </c>
      <c r="B12" s="17" t="s">
        <v>45</v>
      </c>
      <c r="C12" s="18"/>
      <c r="D12" s="19"/>
      <c r="E12" s="20">
        <f>IF(WEEKDAY(A12,2)&lt;=5,Übersicht!$B$4,0)</f>
        <v>0</v>
      </c>
      <c r="F12" s="20" t="str">
        <f t="shared" si="0"/>
        <v/>
      </c>
      <c r="G12" s="21"/>
    </row>
    <row r="13" spans="1:7" x14ac:dyDescent="0.25">
      <c r="A13" s="16">
        <v>46089</v>
      </c>
      <c r="B13" s="17" t="s">
        <v>46</v>
      </c>
      <c r="C13" s="18"/>
      <c r="D13" s="19"/>
      <c r="E13" s="20">
        <f>IF(WEEKDAY(A13,2)&lt;=5,Übersicht!$B$4,0)</f>
        <v>0</v>
      </c>
      <c r="F13" s="20" t="str">
        <f t="shared" si="0"/>
        <v/>
      </c>
      <c r="G13" s="21"/>
    </row>
    <row r="14" spans="1:7" x14ac:dyDescent="0.25">
      <c r="A14" s="22">
        <v>46090</v>
      </c>
      <c r="B14" s="23" t="s">
        <v>47</v>
      </c>
      <c r="C14" s="24" t="s">
        <v>85</v>
      </c>
      <c r="D14" s="25">
        <v>6</v>
      </c>
      <c r="E14" s="11">
        <f>IF(WEEKDAY(A14,2)&lt;=5,Übersicht!$B$4,0)</f>
        <v>8</v>
      </c>
      <c r="F14" s="11">
        <f t="shared" si="0"/>
        <v>-2</v>
      </c>
      <c r="G14" s="26"/>
    </row>
    <row r="15" spans="1:7" x14ac:dyDescent="0.25">
      <c r="A15" s="22">
        <v>46091</v>
      </c>
      <c r="B15" s="23" t="s">
        <v>48</v>
      </c>
      <c r="C15" s="24" t="s">
        <v>85</v>
      </c>
      <c r="D15" s="25">
        <v>4</v>
      </c>
      <c r="E15" s="11">
        <f>IF(WEEKDAY(A15,2)&lt;=5,Übersicht!$B$4,0)</f>
        <v>8</v>
      </c>
      <c r="F15" s="11">
        <f t="shared" si="0"/>
        <v>-4</v>
      </c>
      <c r="G15" s="26"/>
    </row>
    <row r="16" spans="1:7" x14ac:dyDescent="0.25">
      <c r="A16" s="22">
        <v>46092</v>
      </c>
      <c r="B16" s="23" t="s">
        <v>49</v>
      </c>
      <c r="C16" s="24" t="s">
        <v>85</v>
      </c>
      <c r="D16" s="25">
        <v>7</v>
      </c>
      <c r="E16" s="11">
        <f>IF(WEEKDAY(A16,2)&lt;=5,Übersicht!$B$4,0)</f>
        <v>8</v>
      </c>
      <c r="F16" s="11">
        <f t="shared" si="0"/>
        <v>-1</v>
      </c>
      <c r="G16" s="26"/>
    </row>
    <row r="17" spans="1:7" x14ac:dyDescent="0.25">
      <c r="A17" s="22">
        <v>46093</v>
      </c>
      <c r="B17" s="23" t="s">
        <v>50</v>
      </c>
      <c r="C17" s="24" t="s">
        <v>85</v>
      </c>
      <c r="D17" s="25">
        <v>4</v>
      </c>
      <c r="E17" s="11">
        <f>IF(WEEKDAY(A17,2)&lt;=5,Übersicht!$B$4,0)</f>
        <v>8</v>
      </c>
      <c r="F17" s="11">
        <f t="shared" si="0"/>
        <v>-4</v>
      </c>
      <c r="G17" s="26"/>
    </row>
    <row r="18" spans="1:7" x14ac:dyDescent="0.25">
      <c r="A18" s="22">
        <v>46094</v>
      </c>
      <c r="B18" s="23" t="s">
        <v>51</v>
      </c>
      <c r="C18" s="24" t="s">
        <v>85</v>
      </c>
      <c r="D18" s="25">
        <v>4</v>
      </c>
      <c r="E18" s="11">
        <f>IF(WEEKDAY(A18,2)&lt;=5,Übersicht!$B$4,0)</f>
        <v>8</v>
      </c>
      <c r="F18" s="11">
        <f t="shared" si="0"/>
        <v>-4</v>
      </c>
      <c r="G18" s="26"/>
    </row>
    <row r="19" spans="1:7" x14ac:dyDescent="0.25">
      <c r="A19" s="16">
        <v>46095</v>
      </c>
      <c r="B19" s="17" t="s">
        <v>45</v>
      </c>
      <c r="C19" s="18"/>
      <c r="D19" s="19"/>
      <c r="E19" s="20">
        <f>IF(WEEKDAY(A19,2)&lt;=5,Übersicht!$B$4,0)</f>
        <v>0</v>
      </c>
      <c r="F19" s="20" t="str">
        <f t="shared" si="0"/>
        <v/>
      </c>
      <c r="G19" s="21"/>
    </row>
    <row r="20" spans="1:7" x14ac:dyDescent="0.25">
      <c r="A20" s="16">
        <v>46096</v>
      </c>
      <c r="B20" s="17" t="s">
        <v>46</v>
      </c>
      <c r="C20" s="18"/>
      <c r="D20" s="19"/>
      <c r="E20" s="20">
        <f>IF(WEEKDAY(A20,2)&lt;=5,Übersicht!$B$4,0)</f>
        <v>0</v>
      </c>
      <c r="F20" s="20" t="str">
        <f t="shared" si="0"/>
        <v/>
      </c>
      <c r="G20" s="21"/>
    </row>
    <row r="21" spans="1:7" x14ac:dyDescent="0.25">
      <c r="A21" s="22">
        <v>46097</v>
      </c>
      <c r="B21" s="23" t="s">
        <v>47</v>
      </c>
      <c r="C21" s="24" t="s">
        <v>85</v>
      </c>
      <c r="D21" s="25">
        <v>8</v>
      </c>
      <c r="E21" s="11">
        <f>IF(WEEKDAY(A21,2)&lt;=5,Übersicht!$B$4,0)</f>
        <v>8</v>
      </c>
      <c r="F21" s="11">
        <f t="shared" si="0"/>
        <v>0</v>
      </c>
      <c r="G21" s="26"/>
    </row>
    <row r="22" spans="1:7" x14ac:dyDescent="0.25">
      <c r="A22" s="22">
        <v>46098</v>
      </c>
      <c r="B22" s="23" t="s">
        <v>48</v>
      </c>
      <c r="C22" s="24" t="s">
        <v>87</v>
      </c>
      <c r="D22" s="25"/>
      <c r="E22" s="11">
        <f>IF(WEEKDAY(A22,2)&lt;=5,Übersicht!$B$4,0)</f>
        <v>8</v>
      </c>
      <c r="F22" s="11">
        <f t="shared" si="0"/>
        <v>0</v>
      </c>
      <c r="G22" s="26"/>
    </row>
    <row r="23" spans="1:7" x14ac:dyDescent="0.25">
      <c r="A23" s="22">
        <v>46099</v>
      </c>
      <c r="B23" s="23" t="s">
        <v>49</v>
      </c>
      <c r="C23" s="24" t="s">
        <v>87</v>
      </c>
      <c r="D23" s="25"/>
      <c r="E23" s="11">
        <f>IF(WEEKDAY(A23,2)&lt;=5,Übersicht!$B$4,0)</f>
        <v>8</v>
      </c>
      <c r="F23" s="11">
        <f t="shared" si="0"/>
        <v>0</v>
      </c>
      <c r="G23" s="26"/>
    </row>
    <row r="24" spans="1:7" x14ac:dyDescent="0.25">
      <c r="A24" s="22">
        <v>46100</v>
      </c>
      <c r="B24" s="23" t="s">
        <v>50</v>
      </c>
      <c r="C24" s="24" t="s">
        <v>87</v>
      </c>
      <c r="D24" s="25"/>
      <c r="E24" s="11">
        <f>IF(WEEKDAY(A24,2)&lt;=5,Übersicht!$B$4,0)</f>
        <v>8</v>
      </c>
      <c r="F24" s="11">
        <f t="shared" si="0"/>
        <v>0</v>
      </c>
      <c r="G24" s="26"/>
    </row>
    <row r="25" spans="1:7" x14ac:dyDescent="0.25">
      <c r="A25" s="22">
        <v>46101</v>
      </c>
      <c r="B25" s="23" t="s">
        <v>51</v>
      </c>
      <c r="C25" s="24" t="s">
        <v>87</v>
      </c>
      <c r="D25" s="25"/>
      <c r="E25" s="11">
        <f>IF(WEEKDAY(A25,2)&lt;=5,Übersicht!$B$4,0)</f>
        <v>8</v>
      </c>
      <c r="F25" s="11">
        <f t="shared" si="0"/>
        <v>0</v>
      </c>
      <c r="G25" s="26"/>
    </row>
    <row r="26" spans="1:7" x14ac:dyDescent="0.25">
      <c r="A26" s="16">
        <v>46102</v>
      </c>
      <c r="B26" s="17" t="s">
        <v>45</v>
      </c>
      <c r="C26" s="18"/>
      <c r="D26" s="19"/>
      <c r="E26" s="20">
        <f>IF(WEEKDAY(A26,2)&lt;=5,Übersicht!$B$4,0)</f>
        <v>0</v>
      </c>
      <c r="F26" s="20" t="str">
        <f t="shared" si="0"/>
        <v/>
      </c>
      <c r="G26" s="21"/>
    </row>
    <row r="27" spans="1:7" x14ac:dyDescent="0.25">
      <c r="A27" s="16">
        <v>46103</v>
      </c>
      <c r="B27" s="17" t="s">
        <v>46</v>
      </c>
      <c r="C27" s="18"/>
      <c r="D27" s="19"/>
      <c r="E27" s="20">
        <f>IF(WEEKDAY(A27,2)&lt;=5,Übersicht!$B$4,0)</f>
        <v>0</v>
      </c>
      <c r="F27" s="20" t="str">
        <f t="shared" si="0"/>
        <v/>
      </c>
      <c r="G27" s="21"/>
    </row>
    <row r="28" spans="1:7" x14ac:dyDescent="0.25">
      <c r="A28" s="22">
        <v>46104</v>
      </c>
      <c r="B28" s="23" t="s">
        <v>47</v>
      </c>
      <c r="C28" s="24" t="s">
        <v>87</v>
      </c>
      <c r="D28" s="25"/>
      <c r="E28" s="11">
        <f>IF(WEEKDAY(A28,2)&lt;=5,Übersicht!$B$4,0)</f>
        <v>8</v>
      </c>
      <c r="F28" s="11">
        <f t="shared" si="0"/>
        <v>0</v>
      </c>
      <c r="G28" s="26"/>
    </row>
    <row r="29" spans="1:7" x14ac:dyDescent="0.25">
      <c r="A29" s="22">
        <v>46105</v>
      </c>
      <c r="B29" s="23" t="s">
        <v>48</v>
      </c>
      <c r="C29" s="24" t="s">
        <v>87</v>
      </c>
      <c r="D29" s="25"/>
      <c r="E29" s="11">
        <f>IF(WEEKDAY(A29,2)&lt;=5,Übersicht!$B$4,0)</f>
        <v>8</v>
      </c>
      <c r="F29" s="11">
        <f t="shared" si="0"/>
        <v>0</v>
      </c>
      <c r="G29" s="26"/>
    </row>
    <row r="30" spans="1:7" x14ac:dyDescent="0.25">
      <c r="A30" s="22">
        <v>46106</v>
      </c>
      <c r="B30" s="23" t="s">
        <v>49</v>
      </c>
      <c r="C30" s="24" t="s">
        <v>85</v>
      </c>
      <c r="D30" s="25">
        <v>8</v>
      </c>
      <c r="E30" s="11">
        <f>IF(WEEKDAY(A30,2)&lt;=5,Übersicht!$B$4,0)</f>
        <v>8</v>
      </c>
      <c r="F30" s="11">
        <f t="shared" si="0"/>
        <v>0</v>
      </c>
      <c r="G30" s="26"/>
    </row>
    <row r="31" spans="1:7" x14ac:dyDescent="0.25">
      <c r="A31" s="22">
        <v>46107</v>
      </c>
      <c r="B31" s="23" t="s">
        <v>50</v>
      </c>
      <c r="C31" s="24" t="s">
        <v>85</v>
      </c>
      <c r="D31" s="25">
        <v>6</v>
      </c>
      <c r="E31" s="11">
        <f>IF(WEEKDAY(A31,2)&lt;=5,Übersicht!$B$4,0)</f>
        <v>8</v>
      </c>
      <c r="F31" s="11">
        <f t="shared" si="0"/>
        <v>-2</v>
      </c>
      <c r="G31" s="26"/>
    </row>
    <row r="32" spans="1:7" x14ac:dyDescent="0.25">
      <c r="A32" s="22">
        <v>46108</v>
      </c>
      <c r="B32" s="23" t="s">
        <v>51</v>
      </c>
      <c r="C32" s="24" t="s">
        <v>85</v>
      </c>
      <c r="D32" s="25">
        <v>3</v>
      </c>
      <c r="E32" s="11">
        <f>IF(WEEKDAY(A32,2)&lt;=5,Übersicht!$B$4,0)</f>
        <v>8</v>
      </c>
      <c r="F32" s="11">
        <f t="shared" si="0"/>
        <v>-5</v>
      </c>
      <c r="G32" s="26"/>
    </row>
    <row r="33" spans="1:7" x14ac:dyDescent="0.25">
      <c r="A33" s="16">
        <v>46109</v>
      </c>
      <c r="B33" s="17" t="s">
        <v>45</v>
      </c>
      <c r="C33" s="18"/>
      <c r="D33" s="19"/>
      <c r="E33" s="20">
        <f>IF(WEEKDAY(A33,2)&lt;=5,Übersicht!$B$4,0)</f>
        <v>0</v>
      </c>
      <c r="F33" s="20" t="str">
        <f t="shared" si="0"/>
        <v/>
      </c>
      <c r="G33" s="21"/>
    </row>
    <row r="34" spans="1:7" x14ac:dyDescent="0.25">
      <c r="A34" s="16">
        <v>46110</v>
      </c>
      <c r="B34" s="17" t="s">
        <v>46</v>
      </c>
      <c r="C34" s="18"/>
      <c r="D34" s="19"/>
      <c r="E34" s="20">
        <f>IF(WEEKDAY(A34,2)&lt;=5,Übersicht!$B$4,0)</f>
        <v>0</v>
      </c>
      <c r="F34" s="20" t="str">
        <f t="shared" si="0"/>
        <v/>
      </c>
      <c r="G34" s="21"/>
    </row>
    <row r="35" spans="1:7" x14ac:dyDescent="0.25">
      <c r="A35" s="22">
        <v>46111</v>
      </c>
      <c r="B35" s="23" t="s">
        <v>47</v>
      </c>
      <c r="C35" s="24" t="s">
        <v>85</v>
      </c>
      <c r="D35" s="25">
        <v>2</v>
      </c>
      <c r="E35" s="11">
        <f>IF(WEEKDAY(A35,2)&lt;=5,Übersicht!$B$4,0)</f>
        <v>8</v>
      </c>
      <c r="F35" s="11">
        <f t="shared" si="0"/>
        <v>-6</v>
      </c>
      <c r="G35" s="26"/>
    </row>
    <row r="36" spans="1:7" x14ac:dyDescent="0.25">
      <c r="A36" s="22">
        <v>46112</v>
      </c>
      <c r="B36" s="23" t="s">
        <v>48</v>
      </c>
      <c r="C36" s="24" t="s">
        <v>85</v>
      </c>
      <c r="D36" s="25">
        <v>2</v>
      </c>
      <c r="E36" s="11">
        <f>IF(WEEKDAY(A36,2)&lt;=5,Übersicht!$B$4,0)</f>
        <v>8</v>
      </c>
      <c r="F36" s="11">
        <f t="shared" si="0"/>
        <v>-6</v>
      </c>
      <c r="G36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123</v>
      </c>
      <c r="E38" s="13">
        <f>SUM(E6:E36)</f>
        <v>176</v>
      </c>
      <c r="F38" s="13">
        <f>SUM(F6:F36)</f>
        <v>-45</v>
      </c>
      <c r="G38" s="27"/>
    </row>
    <row r="39" spans="1:7" x14ac:dyDescent="0.25">
      <c r="A39" s="6" t="s">
        <v>11</v>
      </c>
      <c r="B39" s="28">
        <f>COUNTIF(E6:E36,"&gt;0")</f>
        <v>22</v>
      </c>
    </row>
    <row r="40" spans="1:7" x14ac:dyDescent="0.25">
      <c r="A40" s="6" t="s">
        <v>16</v>
      </c>
      <c r="B40" s="28">
        <f>COUNTIF(C6:C36,"U")</f>
        <v>6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Übersicht!F29</f>
        <v>-134</v>
      </c>
    </row>
  </sheetData>
  <mergeCells count="1">
    <mergeCell ref="B2:D2"/>
  </mergeCells>
  <dataValidations count="1">
    <dataValidation type="list" allowBlank="1" sqref="C6:C36" xr:uid="{00000000-0002-0000-0E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B2" sqref="B2:D2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80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22">
        <v>46113</v>
      </c>
      <c r="B6" s="23" t="s">
        <v>49</v>
      </c>
      <c r="C6" s="24" t="s">
        <v>85</v>
      </c>
      <c r="D6" s="25">
        <v>8</v>
      </c>
      <c r="E6" s="11">
        <f>IF(WEEKDAY(A6,2)&lt;=5,Übersicht!$B$4,0)</f>
        <v>8</v>
      </c>
      <c r="F6" s="11">
        <f t="shared" ref="F6:F35" si="0">IF(OR(C6="U",C6="K",C6="F",C6="G"),IF(D6="",0,D6),IF(D6="","",D6-E6))</f>
        <v>0</v>
      </c>
      <c r="G6" s="26"/>
    </row>
    <row r="7" spans="1:7" x14ac:dyDescent="0.25">
      <c r="A7" s="22">
        <v>46114</v>
      </c>
      <c r="B7" s="23" t="s">
        <v>50</v>
      </c>
      <c r="C7" s="24" t="s">
        <v>85</v>
      </c>
      <c r="D7" s="25">
        <v>8</v>
      </c>
      <c r="E7" s="11">
        <f>IF(WEEKDAY(A7,2)&lt;=5,Übersicht!$B$4,0)</f>
        <v>8</v>
      </c>
      <c r="F7" s="11">
        <f t="shared" si="0"/>
        <v>0</v>
      </c>
      <c r="G7" s="26"/>
    </row>
    <row r="8" spans="1:7" x14ac:dyDescent="0.25">
      <c r="A8" s="22">
        <v>46115</v>
      </c>
      <c r="B8" s="23" t="s">
        <v>51</v>
      </c>
      <c r="C8" s="24" t="s">
        <v>56</v>
      </c>
      <c r="D8" s="25"/>
      <c r="E8" s="11">
        <f>IF(WEEKDAY(A8,2)&lt;=5,Übersicht!$B$4,0)</f>
        <v>8</v>
      </c>
      <c r="F8" s="11">
        <f t="shared" si="0"/>
        <v>0</v>
      </c>
      <c r="G8" s="26" t="s">
        <v>57</v>
      </c>
    </row>
    <row r="9" spans="1:7" x14ac:dyDescent="0.25">
      <c r="A9" s="16">
        <v>46116</v>
      </c>
      <c r="B9" s="17" t="s">
        <v>45</v>
      </c>
      <c r="C9" s="18"/>
      <c r="D9" s="19"/>
      <c r="E9" s="20">
        <f>IF(WEEKDAY(A9,2)&lt;=5,Übersicht!$B$4,0)</f>
        <v>0</v>
      </c>
      <c r="F9" s="20" t="str">
        <f t="shared" si="0"/>
        <v/>
      </c>
      <c r="G9" s="21"/>
    </row>
    <row r="10" spans="1:7" x14ac:dyDescent="0.25">
      <c r="A10" s="16">
        <v>46117</v>
      </c>
      <c r="B10" s="17" t="s">
        <v>46</v>
      </c>
      <c r="C10" s="18"/>
      <c r="D10" s="19"/>
      <c r="E10" s="20">
        <f>IF(WEEKDAY(A10,2)&lt;=5,Übersicht!$B$4,0)</f>
        <v>0</v>
      </c>
      <c r="F10" s="20" t="str">
        <f t="shared" si="0"/>
        <v/>
      </c>
      <c r="G10" s="21"/>
    </row>
    <row r="11" spans="1:7" x14ac:dyDescent="0.25">
      <c r="A11" s="22">
        <v>46118</v>
      </c>
      <c r="B11" s="23" t="s">
        <v>47</v>
      </c>
      <c r="C11" s="24" t="s">
        <v>56</v>
      </c>
      <c r="D11" s="25"/>
      <c r="E11" s="11">
        <f>IF(WEEKDAY(A11,2)&lt;=5,Übersicht!$B$4,0)</f>
        <v>8</v>
      </c>
      <c r="F11" s="11">
        <f t="shared" si="0"/>
        <v>0</v>
      </c>
      <c r="G11" s="26" t="s">
        <v>58</v>
      </c>
    </row>
    <row r="12" spans="1:7" x14ac:dyDescent="0.25">
      <c r="A12" s="22">
        <v>46119</v>
      </c>
      <c r="B12" s="23" t="s">
        <v>48</v>
      </c>
      <c r="C12" s="24" t="s">
        <v>85</v>
      </c>
      <c r="D12" s="25">
        <v>2</v>
      </c>
      <c r="E12" s="11">
        <f>IF(WEEKDAY(A12,2)&lt;=5,Übersicht!$B$4,0)</f>
        <v>8</v>
      </c>
      <c r="F12" s="11">
        <f t="shared" si="0"/>
        <v>-6</v>
      </c>
      <c r="G12" s="26"/>
    </row>
    <row r="13" spans="1:7" x14ac:dyDescent="0.25">
      <c r="A13" s="22">
        <v>46120</v>
      </c>
      <c r="B13" s="23" t="s">
        <v>49</v>
      </c>
      <c r="C13" s="24" t="s">
        <v>85</v>
      </c>
      <c r="D13" s="25">
        <v>3</v>
      </c>
      <c r="E13" s="11">
        <f>IF(WEEKDAY(A13,2)&lt;=5,Übersicht!$B$4,0)</f>
        <v>8</v>
      </c>
      <c r="F13" s="11">
        <f t="shared" si="0"/>
        <v>-5</v>
      </c>
      <c r="G13" s="26"/>
    </row>
    <row r="14" spans="1:7" x14ac:dyDescent="0.25">
      <c r="A14" s="22">
        <v>46121</v>
      </c>
      <c r="B14" s="23" t="s">
        <v>50</v>
      </c>
      <c r="C14" s="24" t="s">
        <v>88</v>
      </c>
      <c r="D14" s="25"/>
      <c r="E14" s="11">
        <f>IF(WEEKDAY(A14,2)&lt;=5,Übersicht!$B$4,0)</f>
        <v>8</v>
      </c>
      <c r="F14" s="11" t="str">
        <f t="shared" si="0"/>
        <v/>
      </c>
      <c r="G14" s="26" t="s">
        <v>94</v>
      </c>
    </row>
    <row r="15" spans="1:7" x14ac:dyDescent="0.25">
      <c r="A15" s="22">
        <v>46122</v>
      </c>
      <c r="B15" s="23" t="s">
        <v>51</v>
      </c>
      <c r="C15" s="24" t="s">
        <v>85</v>
      </c>
      <c r="D15" s="25">
        <v>6</v>
      </c>
      <c r="E15" s="11">
        <f>IF(WEEKDAY(A15,2)&lt;=5,Übersicht!$B$4,0)</f>
        <v>8</v>
      </c>
      <c r="F15" s="11">
        <f t="shared" si="0"/>
        <v>-2</v>
      </c>
      <c r="G15" s="26"/>
    </row>
    <row r="16" spans="1:7" x14ac:dyDescent="0.25">
      <c r="A16" s="16">
        <v>46123</v>
      </c>
      <c r="B16" s="17" t="s">
        <v>45</v>
      </c>
      <c r="C16" s="18"/>
      <c r="D16" s="19"/>
      <c r="E16" s="20">
        <f>IF(WEEKDAY(A16,2)&lt;=5,Übersicht!$B$4,0)</f>
        <v>0</v>
      </c>
      <c r="F16" s="20" t="str">
        <f t="shared" si="0"/>
        <v/>
      </c>
      <c r="G16" s="21"/>
    </row>
    <row r="17" spans="1:7" x14ac:dyDescent="0.25">
      <c r="A17" s="16">
        <v>46124</v>
      </c>
      <c r="B17" s="17" t="s">
        <v>46</v>
      </c>
      <c r="C17" s="18"/>
      <c r="D17" s="19"/>
      <c r="E17" s="20">
        <f>IF(WEEKDAY(A17,2)&lt;=5,Übersicht!$B$4,0)</f>
        <v>0</v>
      </c>
      <c r="F17" s="20" t="str">
        <f t="shared" si="0"/>
        <v/>
      </c>
      <c r="G17" s="21"/>
    </row>
    <row r="18" spans="1:7" x14ac:dyDescent="0.25">
      <c r="A18" s="22">
        <v>46125</v>
      </c>
      <c r="B18" s="23" t="s">
        <v>47</v>
      </c>
      <c r="C18" s="24" t="s">
        <v>85</v>
      </c>
      <c r="D18" s="25">
        <v>8</v>
      </c>
      <c r="E18" s="11">
        <f>IF(WEEKDAY(A18,2)&lt;=5,Übersicht!$B$4,0)</f>
        <v>8</v>
      </c>
      <c r="F18" s="11">
        <f t="shared" si="0"/>
        <v>0</v>
      </c>
      <c r="G18" s="26"/>
    </row>
    <row r="19" spans="1:7" x14ac:dyDescent="0.25">
      <c r="A19" s="22">
        <v>46126</v>
      </c>
      <c r="B19" s="23" t="s">
        <v>48</v>
      </c>
      <c r="C19" s="24" t="s">
        <v>88</v>
      </c>
      <c r="D19" s="25"/>
      <c r="E19" s="11">
        <f>IF(WEEKDAY(A19,2)&lt;=5,Übersicht!$B$4,0)</f>
        <v>8</v>
      </c>
      <c r="F19" s="11" t="str">
        <f t="shared" si="0"/>
        <v/>
      </c>
      <c r="G19" s="26" t="s">
        <v>94</v>
      </c>
    </row>
    <row r="20" spans="1:7" x14ac:dyDescent="0.25">
      <c r="A20" s="22">
        <v>46127</v>
      </c>
      <c r="B20" s="23" t="s">
        <v>49</v>
      </c>
      <c r="C20" s="24" t="s">
        <v>85</v>
      </c>
      <c r="D20" s="25">
        <v>5</v>
      </c>
      <c r="E20" s="11">
        <f>IF(WEEKDAY(A20,2)&lt;=5,Übersicht!$B$4,0)</f>
        <v>8</v>
      </c>
      <c r="F20" s="11">
        <f t="shared" si="0"/>
        <v>-3</v>
      </c>
      <c r="G20" s="26"/>
    </row>
    <row r="21" spans="1:7" x14ac:dyDescent="0.25">
      <c r="A21" s="22">
        <v>46128</v>
      </c>
      <c r="B21" s="23" t="s">
        <v>50</v>
      </c>
      <c r="C21" s="24" t="s">
        <v>85</v>
      </c>
      <c r="D21" s="25">
        <v>8</v>
      </c>
      <c r="E21" s="11">
        <f>IF(WEEKDAY(A21,2)&lt;=5,Übersicht!$B$4,0)</f>
        <v>8</v>
      </c>
      <c r="F21" s="11">
        <f t="shared" si="0"/>
        <v>0</v>
      </c>
      <c r="G21" s="26"/>
    </row>
    <row r="22" spans="1:7" x14ac:dyDescent="0.25">
      <c r="A22" s="22">
        <v>46129</v>
      </c>
      <c r="B22" s="23" t="s">
        <v>51</v>
      </c>
      <c r="C22" s="24" t="s">
        <v>85</v>
      </c>
      <c r="D22" s="25">
        <v>2</v>
      </c>
      <c r="E22" s="11">
        <f>IF(WEEKDAY(A22,2)&lt;=5,Übersicht!$B$4,0)</f>
        <v>8</v>
      </c>
      <c r="F22" s="11">
        <f t="shared" si="0"/>
        <v>-6</v>
      </c>
      <c r="G22" s="26"/>
    </row>
    <row r="23" spans="1:7" x14ac:dyDescent="0.25">
      <c r="A23" s="16">
        <v>46130</v>
      </c>
      <c r="B23" s="17" t="s">
        <v>45</v>
      </c>
      <c r="C23" s="18"/>
      <c r="D23" s="19"/>
      <c r="E23" s="20">
        <f>IF(WEEKDAY(A23,2)&lt;=5,Übersicht!$B$4,0)</f>
        <v>0</v>
      </c>
      <c r="F23" s="20" t="str">
        <f t="shared" si="0"/>
        <v/>
      </c>
      <c r="G23" s="21"/>
    </row>
    <row r="24" spans="1:7" x14ac:dyDescent="0.25">
      <c r="A24" s="16">
        <v>46131</v>
      </c>
      <c r="B24" s="17" t="s">
        <v>46</v>
      </c>
      <c r="C24" s="18"/>
      <c r="D24" s="19"/>
      <c r="E24" s="20">
        <f>IF(WEEKDAY(A24,2)&lt;=5,Übersicht!$B$4,0)</f>
        <v>0</v>
      </c>
      <c r="F24" s="20" t="str">
        <f t="shared" si="0"/>
        <v/>
      </c>
      <c r="G24" s="21"/>
    </row>
    <row r="25" spans="1:7" x14ac:dyDescent="0.25">
      <c r="A25" s="22">
        <v>46132</v>
      </c>
      <c r="B25" s="23" t="s">
        <v>47</v>
      </c>
      <c r="C25" s="24" t="s">
        <v>85</v>
      </c>
      <c r="D25" s="25">
        <v>8</v>
      </c>
      <c r="E25" s="11">
        <f>IF(WEEKDAY(A25,2)&lt;=5,Übersicht!$B$4,0)</f>
        <v>8</v>
      </c>
      <c r="F25" s="11">
        <f t="shared" si="0"/>
        <v>0</v>
      </c>
      <c r="G25" s="26"/>
    </row>
    <row r="26" spans="1:7" x14ac:dyDescent="0.25">
      <c r="A26" s="22">
        <v>46133</v>
      </c>
      <c r="B26" s="23" t="s">
        <v>48</v>
      </c>
      <c r="C26" s="24" t="s">
        <v>85</v>
      </c>
      <c r="D26" s="25">
        <v>8</v>
      </c>
      <c r="E26" s="11">
        <f>IF(WEEKDAY(A26,2)&lt;=5,Übersicht!$B$4,0)</f>
        <v>8</v>
      </c>
      <c r="F26" s="11">
        <f t="shared" si="0"/>
        <v>0</v>
      </c>
      <c r="G26" s="26"/>
    </row>
    <row r="27" spans="1:7" x14ac:dyDescent="0.25">
      <c r="A27" s="22">
        <v>46134</v>
      </c>
      <c r="B27" s="23" t="s">
        <v>49</v>
      </c>
      <c r="C27" s="24" t="s">
        <v>85</v>
      </c>
      <c r="D27" s="25">
        <v>8</v>
      </c>
      <c r="E27" s="11">
        <f>IF(WEEKDAY(A27,2)&lt;=5,Übersicht!$B$4,0)</f>
        <v>8</v>
      </c>
      <c r="F27" s="11">
        <f t="shared" si="0"/>
        <v>0</v>
      </c>
      <c r="G27" s="26"/>
    </row>
    <row r="28" spans="1:7" x14ac:dyDescent="0.25">
      <c r="A28" s="22">
        <v>46135</v>
      </c>
      <c r="B28" s="23" t="s">
        <v>50</v>
      </c>
      <c r="C28" s="24" t="s">
        <v>85</v>
      </c>
      <c r="D28" s="25">
        <v>8</v>
      </c>
      <c r="E28" s="11">
        <f>IF(WEEKDAY(A28,2)&lt;=5,Übersicht!$B$4,0)</f>
        <v>8</v>
      </c>
      <c r="F28" s="11">
        <f t="shared" si="0"/>
        <v>0</v>
      </c>
      <c r="G28" s="26"/>
    </row>
    <row r="29" spans="1:7" x14ac:dyDescent="0.25">
      <c r="A29" s="22">
        <v>46136</v>
      </c>
      <c r="B29" s="23" t="s">
        <v>51</v>
      </c>
      <c r="C29" s="24" t="s">
        <v>85</v>
      </c>
      <c r="D29" s="25">
        <v>8</v>
      </c>
      <c r="E29" s="11">
        <f>IF(WEEKDAY(A29,2)&lt;=5,Übersicht!$B$4,0)</f>
        <v>8</v>
      </c>
      <c r="F29" s="11">
        <f t="shared" si="0"/>
        <v>0</v>
      </c>
      <c r="G29" s="26"/>
    </row>
    <row r="30" spans="1:7" x14ac:dyDescent="0.25">
      <c r="A30" s="16">
        <v>46137</v>
      </c>
      <c r="B30" s="17" t="s">
        <v>45</v>
      </c>
      <c r="C30" s="18"/>
      <c r="D30" s="19"/>
      <c r="E30" s="20">
        <f>IF(WEEKDAY(A30,2)&lt;=5,Übersicht!$B$4,0)</f>
        <v>0</v>
      </c>
      <c r="F30" s="20" t="str">
        <f t="shared" si="0"/>
        <v/>
      </c>
      <c r="G30" s="21"/>
    </row>
    <row r="31" spans="1:7" x14ac:dyDescent="0.25">
      <c r="A31" s="16">
        <v>46138</v>
      </c>
      <c r="B31" s="17" t="s">
        <v>46</v>
      </c>
      <c r="C31" s="18"/>
      <c r="D31" s="19"/>
      <c r="E31" s="20">
        <f>IF(WEEKDAY(A31,2)&lt;=5,Übersicht!$B$4,0)</f>
        <v>0</v>
      </c>
      <c r="F31" s="20" t="str">
        <f t="shared" si="0"/>
        <v/>
      </c>
      <c r="G31" s="21"/>
    </row>
    <row r="32" spans="1:7" x14ac:dyDescent="0.25">
      <c r="A32" s="22">
        <v>46139</v>
      </c>
      <c r="B32" s="23" t="s">
        <v>47</v>
      </c>
      <c r="C32" s="24" t="s">
        <v>85</v>
      </c>
      <c r="D32" s="25">
        <v>8</v>
      </c>
      <c r="E32" s="11">
        <f>IF(WEEKDAY(A32,2)&lt;=5,Übersicht!$B$4,0)</f>
        <v>8</v>
      </c>
      <c r="F32" s="11">
        <f t="shared" si="0"/>
        <v>0</v>
      </c>
      <c r="G32" s="26"/>
    </row>
    <row r="33" spans="1:7" x14ac:dyDescent="0.25">
      <c r="A33" s="22">
        <v>46140</v>
      </c>
      <c r="B33" s="23" t="s">
        <v>48</v>
      </c>
      <c r="C33" s="24" t="s">
        <v>85</v>
      </c>
      <c r="D33" s="25">
        <v>8</v>
      </c>
      <c r="E33" s="11">
        <f>IF(WEEKDAY(A33,2)&lt;=5,Übersicht!$B$4,0)</f>
        <v>8</v>
      </c>
      <c r="F33" s="11">
        <f t="shared" si="0"/>
        <v>0</v>
      </c>
      <c r="G33" s="26"/>
    </row>
    <row r="34" spans="1:7" x14ac:dyDescent="0.25">
      <c r="A34" s="22">
        <v>46141</v>
      </c>
      <c r="B34" s="23" t="s">
        <v>49</v>
      </c>
      <c r="C34" s="24" t="s">
        <v>85</v>
      </c>
      <c r="D34" s="25">
        <v>8</v>
      </c>
      <c r="E34" s="11">
        <f>IF(WEEKDAY(A34,2)&lt;=5,Übersicht!$B$4,0)</f>
        <v>8</v>
      </c>
      <c r="F34" s="11">
        <f t="shared" si="0"/>
        <v>0</v>
      </c>
      <c r="G34" s="26"/>
    </row>
    <row r="35" spans="1:7" x14ac:dyDescent="0.25">
      <c r="A35" s="22">
        <v>46142</v>
      </c>
      <c r="B35" s="23" t="s">
        <v>50</v>
      </c>
      <c r="C35" s="24" t="s">
        <v>85</v>
      </c>
      <c r="D35" s="25">
        <v>8</v>
      </c>
      <c r="E35" s="11">
        <f>IF(WEEKDAY(A35,2)&lt;=5,Übersicht!$B$4,0)</f>
        <v>8</v>
      </c>
      <c r="F35" s="11">
        <f t="shared" si="0"/>
        <v>0</v>
      </c>
      <c r="G35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138</v>
      </c>
      <c r="E38" s="13">
        <f>SUM(E6:E36)</f>
        <v>176</v>
      </c>
      <c r="F38" s="13">
        <f>SUM(F6:F36)</f>
        <v>-22</v>
      </c>
      <c r="G38" s="27"/>
    </row>
    <row r="39" spans="1:7" x14ac:dyDescent="0.25">
      <c r="A39" s="6" t="s">
        <v>11</v>
      </c>
      <c r="B39" s="28">
        <f>COUNTIF(E6:E36,"&gt;0")</f>
        <v>22</v>
      </c>
    </row>
    <row r="40" spans="1:7" x14ac:dyDescent="0.25">
      <c r="A40" s="6" t="s">
        <v>16</v>
      </c>
      <c r="B40" s="28">
        <f>COUNTIF(C6:C36,"U")</f>
        <v>0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Übersicht!F30</f>
        <v>-156</v>
      </c>
    </row>
  </sheetData>
  <mergeCells count="1">
    <mergeCell ref="B2:D2"/>
  </mergeCells>
  <dataValidations count="1">
    <dataValidation type="list" allowBlank="1" sqref="C6:C35" xr:uid="{00000000-0002-0000-0F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F26" sqref="F26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81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22">
        <v>46143</v>
      </c>
      <c r="B6" s="23" t="s">
        <v>51</v>
      </c>
      <c r="C6" s="24" t="s">
        <v>56</v>
      </c>
      <c r="D6" s="25"/>
      <c r="E6" s="11">
        <f>IF(WEEKDAY(A6,2)&lt;=5,Übersicht!$B$4,0)</f>
        <v>8</v>
      </c>
      <c r="F6" s="11">
        <f t="shared" ref="F6:F36" si="0">IF(OR(C6="U",C6="K",C6="F",C6="G"),IF(D6="",0,D6),IF(D6="","",D6-E6))</f>
        <v>0</v>
      </c>
      <c r="G6" s="26" t="s">
        <v>60</v>
      </c>
    </row>
    <row r="7" spans="1:7" x14ac:dyDescent="0.25">
      <c r="A7" s="16">
        <v>46144</v>
      </c>
      <c r="B7" s="17" t="s">
        <v>45</v>
      </c>
      <c r="C7" s="18"/>
      <c r="D7" s="19"/>
      <c r="E7" s="20">
        <f>IF(WEEKDAY(A7,2)&lt;=5,Übersicht!$B$4,0)</f>
        <v>0</v>
      </c>
      <c r="F7" s="20" t="str">
        <f t="shared" si="0"/>
        <v/>
      </c>
      <c r="G7" s="21"/>
    </row>
    <row r="8" spans="1:7" x14ac:dyDescent="0.25">
      <c r="A8" s="16">
        <v>46145</v>
      </c>
      <c r="B8" s="17" t="s">
        <v>46</v>
      </c>
      <c r="C8" s="18"/>
      <c r="D8" s="19"/>
      <c r="E8" s="20">
        <f>IF(WEEKDAY(A8,2)&lt;=5,Übersicht!$B$4,0)</f>
        <v>0</v>
      </c>
      <c r="F8" s="20" t="str">
        <f t="shared" si="0"/>
        <v/>
      </c>
      <c r="G8" s="21"/>
    </row>
    <row r="9" spans="1:7" x14ac:dyDescent="0.25">
      <c r="A9" s="22">
        <v>46146</v>
      </c>
      <c r="B9" s="23" t="s">
        <v>47</v>
      </c>
      <c r="C9" s="24" t="s">
        <v>85</v>
      </c>
      <c r="D9" s="25">
        <v>8</v>
      </c>
      <c r="E9" s="11">
        <f>IF(WEEKDAY(A9,2)&lt;=5,Übersicht!$B$4,0)</f>
        <v>8</v>
      </c>
      <c r="F9" s="11">
        <f t="shared" si="0"/>
        <v>0</v>
      </c>
      <c r="G9" s="26"/>
    </row>
    <row r="10" spans="1:7" x14ac:dyDescent="0.25">
      <c r="A10" s="22">
        <v>46147</v>
      </c>
      <c r="B10" s="23" t="s">
        <v>48</v>
      </c>
      <c r="C10" s="24" t="s">
        <v>85</v>
      </c>
      <c r="D10" s="25">
        <v>8</v>
      </c>
      <c r="E10" s="11">
        <f>IF(WEEKDAY(A10,2)&lt;=5,Übersicht!$B$4,0)</f>
        <v>8</v>
      </c>
      <c r="F10" s="11">
        <f t="shared" si="0"/>
        <v>0</v>
      </c>
      <c r="G10" s="26"/>
    </row>
    <row r="11" spans="1:7" x14ac:dyDescent="0.25">
      <c r="A11" s="22">
        <v>46148</v>
      </c>
      <c r="B11" s="23" t="s">
        <v>49</v>
      </c>
      <c r="C11" s="24" t="s">
        <v>85</v>
      </c>
      <c r="D11" s="25">
        <v>8</v>
      </c>
      <c r="E11" s="11">
        <f>IF(WEEKDAY(A11,2)&lt;=5,Übersicht!$B$4,0)</f>
        <v>8</v>
      </c>
      <c r="F11" s="11">
        <f t="shared" si="0"/>
        <v>0</v>
      </c>
      <c r="G11" s="26"/>
    </row>
    <row r="12" spans="1:7" x14ac:dyDescent="0.25">
      <c r="A12" s="22">
        <v>46149</v>
      </c>
      <c r="B12" s="23" t="s">
        <v>50</v>
      </c>
      <c r="C12" s="24" t="s">
        <v>87</v>
      </c>
      <c r="D12" s="25"/>
      <c r="E12" s="11">
        <f>IF(WEEKDAY(A12,2)&lt;=5,Übersicht!$B$4,0)</f>
        <v>8</v>
      </c>
      <c r="F12" s="11">
        <f t="shared" si="0"/>
        <v>0</v>
      </c>
      <c r="G12" s="26"/>
    </row>
    <row r="13" spans="1:7" x14ac:dyDescent="0.25">
      <c r="A13" s="22">
        <v>46150</v>
      </c>
      <c r="B13" s="23" t="s">
        <v>51</v>
      </c>
      <c r="C13" s="24" t="s">
        <v>87</v>
      </c>
      <c r="D13" s="25"/>
      <c r="E13" s="11">
        <f>IF(WEEKDAY(A13,2)&lt;=5,Übersicht!$B$4,0)</f>
        <v>8</v>
      </c>
      <c r="F13" s="11">
        <f t="shared" si="0"/>
        <v>0</v>
      </c>
      <c r="G13" s="26"/>
    </row>
    <row r="14" spans="1:7" x14ac:dyDescent="0.25">
      <c r="A14" s="16">
        <v>46151</v>
      </c>
      <c r="B14" s="17" t="s">
        <v>45</v>
      </c>
      <c r="C14" s="18"/>
      <c r="D14" s="19"/>
      <c r="E14" s="20">
        <f>IF(WEEKDAY(A14,2)&lt;=5,Übersicht!$B$4,0)</f>
        <v>0</v>
      </c>
      <c r="F14" s="20" t="str">
        <f t="shared" si="0"/>
        <v/>
      </c>
      <c r="G14" s="21"/>
    </row>
    <row r="15" spans="1:7" x14ac:dyDescent="0.25">
      <c r="A15" s="16">
        <v>46152</v>
      </c>
      <c r="B15" s="17" t="s">
        <v>46</v>
      </c>
      <c r="C15" s="18"/>
      <c r="D15" s="19"/>
      <c r="E15" s="20">
        <f>IF(WEEKDAY(A15,2)&lt;=5,Übersicht!$B$4,0)</f>
        <v>0</v>
      </c>
      <c r="F15" s="20" t="str">
        <f t="shared" si="0"/>
        <v/>
      </c>
      <c r="G15" s="21"/>
    </row>
    <row r="16" spans="1:7" x14ac:dyDescent="0.25">
      <c r="A16" s="22">
        <v>46153</v>
      </c>
      <c r="B16" s="23" t="s">
        <v>47</v>
      </c>
      <c r="C16" s="24" t="s">
        <v>87</v>
      </c>
      <c r="D16" s="25"/>
      <c r="E16" s="11">
        <f>IF(WEEKDAY(A16,2)&lt;=5,Übersicht!$B$4,0)</f>
        <v>8</v>
      </c>
      <c r="F16" s="11">
        <f t="shared" si="0"/>
        <v>0</v>
      </c>
      <c r="G16" s="26"/>
    </row>
    <row r="17" spans="1:7" x14ac:dyDescent="0.25">
      <c r="A17" s="22">
        <v>46154</v>
      </c>
      <c r="B17" s="23" t="s">
        <v>48</v>
      </c>
      <c r="C17" s="24" t="s">
        <v>87</v>
      </c>
      <c r="D17" s="25"/>
      <c r="E17" s="11">
        <f>IF(WEEKDAY(A17,2)&lt;=5,Übersicht!$B$4,0)</f>
        <v>8</v>
      </c>
      <c r="F17" s="11">
        <f t="shared" si="0"/>
        <v>0</v>
      </c>
      <c r="G17" s="26"/>
    </row>
    <row r="18" spans="1:7" x14ac:dyDescent="0.25">
      <c r="A18" s="22">
        <v>46155</v>
      </c>
      <c r="B18" s="23" t="s">
        <v>49</v>
      </c>
      <c r="C18" s="24" t="s">
        <v>87</v>
      </c>
      <c r="D18" s="25"/>
      <c r="E18" s="11">
        <f>IF(WEEKDAY(A18,2)&lt;=5,Übersicht!$B$4,0)</f>
        <v>8</v>
      </c>
      <c r="F18" s="11">
        <f t="shared" si="0"/>
        <v>0</v>
      </c>
      <c r="G18" s="26"/>
    </row>
    <row r="19" spans="1:7" x14ac:dyDescent="0.25">
      <c r="A19" s="22">
        <v>46156</v>
      </c>
      <c r="B19" s="23" t="s">
        <v>50</v>
      </c>
      <c r="C19" s="24" t="s">
        <v>56</v>
      </c>
      <c r="D19" s="25"/>
      <c r="E19" s="11">
        <f>IF(WEEKDAY(A19,2)&lt;=5,Übersicht!$B$4,0)</f>
        <v>8</v>
      </c>
      <c r="F19" s="11">
        <f t="shared" si="0"/>
        <v>0</v>
      </c>
      <c r="G19" s="26" t="s">
        <v>61</v>
      </c>
    </row>
    <row r="20" spans="1:7" x14ac:dyDescent="0.25">
      <c r="A20" s="22">
        <v>46157</v>
      </c>
      <c r="B20" s="23" t="s">
        <v>51</v>
      </c>
      <c r="C20" s="24" t="s">
        <v>87</v>
      </c>
      <c r="D20" s="25"/>
      <c r="E20" s="11">
        <f>IF(WEEKDAY(A20,2)&lt;=5,Übersicht!$B$4,0)</f>
        <v>8</v>
      </c>
      <c r="F20" s="11">
        <f t="shared" si="0"/>
        <v>0</v>
      </c>
      <c r="G20" s="26"/>
    </row>
    <row r="21" spans="1:7" x14ac:dyDescent="0.25">
      <c r="A21" s="16">
        <v>46158</v>
      </c>
      <c r="B21" s="17" t="s">
        <v>45</v>
      </c>
      <c r="C21" s="18"/>
      <c r="D21" s="19"/>
      <c r="E21" s="20">
        <f>IF(WEEKDAY(A21,2)&lt;=5,Übersicht!$B$4,0)</f>
        <v>0</v>
      </c>
      <c r="F21" s="20" t="str">
        <f t="shared" si="0"/>
        <v/>
      </c>
      <c r="G21" s="21"/>
    </row>
    <row r="22" spans="1:7" x14ac:dyDescent="0.25">
      <c r="A22" s="16">
        <v>46159</v>
      </c>
      <c r="B22" s="17" t="s">
        <v>46</v>
      </c>
      <c r="C22" s="18"/>
      <c r="D22" s="19"/>
      <c r="E22" s="20">
        <f>IF(WEEKDAY(A22,2)&lt;=5,Übersicht!$B$4,0)</f>
        <v>0</v>
      </c>
      <c r="F22" s="20" t="str">
        <f t="shared" si="0"/>
        <v/>
      </c>
      <c r="G22" s="21"/>
    </row>
    <row r="23" spans="1:7" x14ac:dyDescent="0.25">
      <c r="A23" s="22">
        <v>46160</v>
      </c>
      <c r="B23" s="23" t="s">
        <v>47</v>
      </c>
      <c r="C23" s="24" t="s">
        <v>87</v>
      </c>
      <c r="D23" s="25"/>
      <c r="E23" s="11">
        <f>IF(WEEKDAY(A23,2)&lt;=5,Übersicht!$B$4,0)</f>
        <v>8</v>
      </c>
      <c r="F23" s="11">
        <f t="shared" si="0"/>
        <v>0</v>
      </c>
      <c r="G23" s="26"/>
    </row>
    <row r="24" spans="1:7" x14ac:dyDescent="0.25">
      <c r="A24" s="22">
        <v>46161</v>
      </c>
      <c r="B24" s="23" t="s">
        <v>48</v>
      </c>
      <c r="C24" s="24" t="s">
        <v>87</v>
      </c>
      <c r="D24" s="25"/>
      <c r="E24" s="11">
        <f>IF(WEEKDAY(A24,2)&lt;=5,Übersicht!$B$4,0)</f>
        <v>8</v>
      </c>
      <c r="F24" s="11">
        <f t="shared" si="0"/>
        <v>0</v>
      </c>
      <c r="G24" s="26"/>
    </row>
    <row r="25" spans="1:7" x14ac:dyDescent="0.25">
      <c r="A25" s="22">
        <v>46162</v>
      </c>
      <c r="B25" s="23" t="s">
        <v>49</v>
      </c>
      <c r="C25" s="24" t="s">
        <v>87</v>
      </c>
      <c r="D25" s="25"/>
      <c r="E25" s="11">
        <f>IF(WEEKDAY(A25,2)&lt;=5,Übersicht!$B$4,0)</f>
        <v>8</v>
      </c>
      <c r="F25" s="11">
        <f t="shared" si="0"/>
        <v>0</v>
      </c>
      <c r="G25" s="26"/>
    </row>
    <row r="26" spans="1:7" x14ac:dyDescent="0.25">
      <c r="A26" s="22">
        <v>46163</v>
      </c>
      <c r="B26" s="23" t="s">
        <v>50</v>
      </c>
      <c r="C26" s="24" t="s">
        <v>87</v>
      </c>
      <c r="D26" s="25"/>
      <c r="E26" s="11">
        <f>IF(WEEKDAY(A26,2)&lt;=5,Übersicht!$B$4,0)</f>
        <v>8</v>
      </c>
      <c r="F26" s="11">
        <f t="shared" si="0"/>
        <v>0</v>
      </c>
      <c r="G26" s="26"/>
    </row>
    <row r="27" spans="1:7" x14ac:dyDescent="0.25">
      <c r="A27" s="22">
        <v>46164</v>
      </c>
      <c r="B27" s="23" t="s">
        <v>51</v>
      </c>
      <c r="C27" s="24" t="s">
        <v>87</v>
      </c>
      <c r="D27" s="25"/>
      <c r="E27" s="11">
        <f>IF(WEEKDAY(A27,2)&lt;=5,Übersicht!$B$4,0)</f>
        <v>8</v>
      </c>
      <c r="F27" s="11">
        <f t="shared" si="0"/>
        <v>0</v>
      </c>
      <c r="G27" s="26"/>
    </row>
    <row r="28" spans="1:7" x14ac:dyDescent="0.25">
      <c r="A28" s="16">
        <v>46165</v>
      </c>
      <c r="B28" s="17" t="s">
        <v>45</v>
      </c>
      <c r="C28" s="18"/>
      <c r="D28" s="19"/>
      <c r="E28" s="20">
        <f>IF(WEEKDAY(A28,2)&lt;=5,Übersicht!$B$4,0)</f>
        <v>0</v>
      </c>
      <c r="F28" s="20" t="str">
        <f t="shared" si="0"/>
        <v/>
      </c>
      <c r="G28" s="21"/>
    </row>
    <row r="29" spans="1:7" x14ac:dyDescent="0.25">
      <c r="A29" s="16">
        <v>46166</v>
      </c>
      <c r="B29" s="17" t="s">
        <v>46</v>
      </c>
      <c r="C29" s="18"/>
      <c r="D29" s="19"/>
      <c r="E29" s="20">
        <f>IF(WEEKDAY(A29,2)&lt;=5,Übersicht!$B$4,0)</f>
        <v>0</v>
      </c>
      <c r="F29" s="20" t="str">
        <f t="shared" si="0"/>
        <v/>
      </c>
      <c r="G29" s="21"/>
    </row>
    <row r="30" spans="1:7" x14ac:dyDescent="0.25">
      <c r="A30" s="22">
        <v>46167</v>
      </c>
      <c r="B30" s="23" t="s">
        <v>47</v>
      </c>
      <c r="C30" s="24" t="s">
        <v>56</v>
      </c>
      <c r="D30" s="25"/>
      <c r="E30" s="11">
        <f>IF(WEEKDAY(A30,2)&lt;=5,Übersicht!$B$4,0)</f>
        <v>8</v>
      </c>
      <c r="F30" s="11">
        <f t="shared" si="0"/>
        <v>0</v>
      </c>
      <c r="G30" s="26" t="s">
        <v>63</v>
      </c>
    </row>
    <row r="31" spans="1:7" x14ac:dyDescent="0.25">
      <c r="A31" s="22">
        <v>46168</v>
      </c>
      <c r="B31" s="23" t="s">
        <v>48</v>
      </c>
      <c r="C31" s="24" t="s">
        <v>87</v>
      </c>
      <c r="D31" s="25"/>
      <c r="E31" s="11">
        <f>IF(WEEKDAY(A31,2)&lt;=5,Übersicht!$B$4,0)</f>
        <v>8</v>
      </c>
      <c r="F31" s="11">
        <f t="shared" si="0"/>
        <v>0</v>
      </c>
      <c r="G31" s="26"/>
    </row>
    <row r="32" spans="1:7" x14ac:dyDescent="0.25">
      <c r="A32" s="22">
        <v>46169</v>
      </c>
      <c r="B32" s="23" t="s">
        <v>49</v>
      </c>
      <c r="C32" s="24" t="s">
        <v>87</v>
      </c>
      <c r="D32" s="25"/>
      <c r="E32" s="11">
        <f>IF(WEEKDAY(A32,2)&lt;=5,Übersicht!$B$4,0)</f>
        <v>8</v>
      </c>
      <c r="F32" s="11">
        <f t="shared" si="0"/>
        <v>0</v>
      </c>
      <c r="G32" s="26"/>
    </row>
    <row r="33" spans="1:7" x14ac:dyDescent="0.25">
      <c r="A33" s="22">
        <v>46170</v>
      </c>
      <c r="B33" s="23" t="s">
        <v>50</v>
      </c>
      <c r="C33" s="24" t="s">
        <v>87</v>
      </c>
      <c r="D33" s="25"/>
      <c r="E33" s="11">
        <f>IF(WEEKDAY(A33,2)&lt;=5,Übersicht!$B$4,0)</f>
        <v>8</v>
      </c>
      <c r="F33" s="11">
        <f t="shared" si="0"/>
        <v>0</v>
      </c>
      <c r="G33" s="26"/>
    </row>
    <row r="34" spans="1:7" x14ac:dyDescent="0.25">
      <c r="A34" s="22">
        <v>46171</v>
      </c>
      <c r="B34" s="23" t="s">
        <v>51</v>
      </c>
      <c r="C34" s="24" t="s">
        <v>87</v>
      </c>
      <c r="D34" s="25"/>
      <c r="E34" s="11">
        <f>IF(WEEKDAY(A34,2)&lt;=5,Übersicht!$B$4,0)</f>
        <v>8</v>
      </c>
      <c r="F34" s="11">
        <f t="shared" si="0"/>
        <v>0</v>
      </c>
      <c r="G34" s="26"/>
    </row>
    <row r="35" spans="1:7" x14ac:dyDescent="0.25">
      <c r="A35" s="16">
        <v>46172</v>
      </c>
      <c r="B35" s="17" t="s">
        <v>45</v>
      </c>
      <c r="C35" s="18"/>
      <c r="D35" s="19"/>
      <c r="E35" s="20">
        <f>IF(WEEKDAY(A35,2)&lt;=5,Übersicht!$B$4,0)</f>
        <v>0</v>
      </c>
      <c r="F35" s="20" t="str">
        <f t="shared" si="0"/>
        <v/>
      </c>
      <c r="G35" s="21"/>
    </row>
    <row r="36" spans="1:7" x14ac:dyDescent="0.25">
      <c r="A36" s="16">
        <v>46173</v>
      </c>
      <c r="B36" s="17" t="s">
        <v>46</v>
      </c>
      <c r="C36" s="18"/>
      <c r="D36" s="19"/>
      <c r="E36" s="20">
        <f>IF(WEEKDAY(A36,2)&lt;=5,Übersicht!$B$4,0)</f>
        <v>0</v>
      </c>
      <c r="F36" s="20" t="str">
        <f t="shared" si="0"/>
        <v/>
      </c>
      <c r="G36" s="21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168</v>
      </c>
      <c r="E38" s="13">
        <f>SUM(E6:E36)</f>
        <v>168</v>
      </c>
      <c r="F38" s="13">
        <f>SUM(F6:F36)</f>
        <v>0</v>
      </c>
      <c r="G38" s="27"/>
    </row>
    <row r="39" spans="1:7" x14ac:dyDescent="0.25">
      <c r="A39" s="6" t="s">
        <v>11</v>
      </c>
      <c r="B39" s="28">
        <f>COUNTIF(E6:E36,"&gt;0")</f>
        <v>21</v>
      </c>
    </row>
    <row r="40" spans="1:7" x14ac:dyDescent="0.25">
      <c r="A40" s="6" t="s">
        <v>16</v>
      </c>
      <c r="B40" s="28">
        <f>COUNTIF(C6:C36,"U")</f>
        <v>15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Übersicht!F31</f>
        <v>-156</v>
      </c>
    </row>
  </sheetData>
  <mergeCells count="1">
    <mergeCell ref="B2:D2"/>
  </mergeCells>
  <dataValidations count="1">
    <dataValidation type="list" allowBlank="1" sqref="C6:C36" xr:uid="{00000000-0002-0000-10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G14" sqref="G14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82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22">
        <v>46174</v>
      </c>
      <c r="B6" s="23" t="s">
        <v>47</v>
      </c>
      <c r="C6" s="24" t="s">
        <v>87</v>
      </c>
      <c r="D6" s="25"/>
      <c r="E6" s="11">
        <f>IF(WEEKDAY(A6,2)&lt;=5,Übersicht!$B$4,0)</f>
        <v>8</v>
      </c>
      <c r="F6" s="11">
        <f t="shared" ref="F6:F35" si="0">IF(OR(C6="U",C6="K",C6="F",C6="G"),IF(D6="",0,D6),IF(D6="","",D6-E6))</f>
        <v>0</v>
      </c>
      <c r="G6" s="26"/>
    </row>
    <row r="7" spans="1:7" x14ac:dyDescent="0.25">
      <c r="A7" s="22">
        <v>46175</v>
      </c>
      <c r="B7" s="23" t="s">
        <v>48</v>
      </c>
      <c r="C7" s="24" t="s">
        <v>87</v>
      </c>
      <c r="D7" s="25"/>
      <c r="E7" s="11">
        <f>IF(WEEKDAY(A7,2)&lt;=5,Übersicht!$B$4,0)</f>
        <v>8</v>
      </c>
      <c r="F7" s="11">
        <f t="shared" si="0"/>
        <v>0</v>
      </c>
      <c r="G7" s="26"/>
    </row>
    <row r="8" spans="1:7" x14ac:dyDescent="0.25">
      <c r="A8" s="22">
        <v>46176</v>
      </c>
      <c r="B8" s="23" t="s">
        <v>49</v>
      </c>
      <c r="C8" s="24" t="s">
        <v>87</v>
      </c>
      <c r="D8" s="25"/>
      <c r="E8" s="11">
        <f>IF(WEEKDAY(A8,2)&lt;=5,Übersicht!$B$4,0)</f>
        <v>8</v>
      </c>
      <c r="F8" s="11">
        <f t="shared" si="0"/>
        <v>0</v>
      </c>
      <c r="G8" s="26"/>
    </row>
    <row r="9" spans="1:7" x14ac:dyDescent="0.25">
      <c r="A9" s="22">
        <v>46177</v>
      </c>
      <c r="B9" s="23" t="s">
        <v>50</v>
      </c>
      <c r="C9" s="24" t="s">
        <v>56</v>
      </c>
      <c r="D9" s="25"/>
      <c r="E9" s="11">
        <f>IF(WEEKDAY(A9,2)&lt;=5,Übersicht!$B$4,0)</f>
        <v>8</v>
      </c>
      <c r="F9" s="11">
        <f t="shared" si="0"/>
        <v>0</v>
      </c>
      <c r="G9" s="26" t="s">
        <v>64</v>
      </c>
    </row>
    <row r="10" spans="1:7" x14ac:dyDescent="0.25">
      <c r="A10" s="22">
        <v>46178</v>
      </c>
      <c r="B10" s="23" t="s">
        <v>51</v>
      </c>
      <c r="C10" s="24" t="s">
        <v>87</v>
      </c>
      <c r="D10" s="25"/>
      <c r="E10" s="11">
        <f>IF(WEEKDAY(A10,2)&lt;=5,Übersicht!$B$4,0)</f>
        <v>8</v>
      </c>
      <c r="F10" s="11">
        <f t="shared" si="0"/>
        <v>0</v>
      </c>
      <c r="G10" s="26"/>
    </row>
    <row r="11" spans="1:7" x14ac:dyDescent="0.25">
      <c r="A11" s="16">
        <v>46179</v>
      </c>
      <c r="B11" s="17" t="s">
        <v>45</v>
      </c>
      <c r="C11" s="18"/>
      <c r="D11" s="19"/>
      <c r="E11" s="20">
        <f>IF(WEEKDAY(A11,2)&lt;=5,Übersicht!$B$4,0)</f>
        <v>0</v>
      </c>
      <c r="F11" s="20" t="str">
        <f t="shared" si="0"/>
        <v/>
      </c>
      <c r="G11" s="21"/>
    </row>
    <row r="12" spans="1:7" x14ac:dyDescent="0.25">
      <c r="A12" s="16">
        <v>46180</v>
      </c>
      <c r="B12" s="17" t="s">
        <v>46</v>
      </c>
      <c r="C12" s="18"/>
      <c r="D12" s="19"/>
      <c r="E12" s="20">
        <f>IF(WEEKDAY(A12,2)&lt;=5,Übersicht!$B$4,0)</f>
        <v>0</v>
      </c>
      <c r="F12" s="20" t="str">
        <f t="shared" si="0"/>
        <v/>
      </c>
      <c r="G12" s="21"/>
    </row>
    <row r="13" spans="1:7" x14ac:dyDescent="0.25">
      <c r="A13" s="22">
        <v>46181</v>
      </c>
      <c r="B13" s="23" t="s">
        <v>47</v>
      </c>
      <c r="C13" s="24" t="s">
        <v>85</v>
      </c>
      <c r="D13" s="25">
        <v>8</v>
      </c>
      <c r="E13" s="11">
        <f>IF(WEEKDAY(A13,2)&lt;=5,Übersicht!$B$4,0)</f>
        <v>8</v>
      </c>
      <c r="F13" s="11">
        <f t="shared" si="0"/>
        <v>0</v>
      </c>
      <c r="G13" s="26"/>
    </row>
    <row r="14" spans="1:7" x14ac:dyDescent="0.25">
      <c r="A14" s="22">
        <v>46182</v>
      </c>
      <c r="B14" s="23" t="s">
        <v>48</v>
      </c>
      <c r="C14" s="24" t="s">
        <v>85</v>
      </c>
      <c r="D14" s="25">
        <v>8</v>
      </c>
      <c r="E14" s="11">
        <f>IF(WEEKDAY(A14,2)&lt;=5,Übersicht!$B$4,0)</f>
        <v>8</v>
      </c>
      <c r="F14" s="11">
        <f t="shared" si="0"/>
        <v>0</v>
      </c>
      <c r="G14" s="26"/>
    </row>
    <row r="15" spans="1:7" x14ac:dyDescent="0.25">
      <c r="A15" s="22">
        <v>46183</v>
      </c>
      <c r="B15" s="23" t="s">
        <v>49</v>
      </c>
      <c r="C15" s="24" t="s">
        <v>85</v>
      </c>
      <c r="D15" s="25">
        <v>8</v>
      </c>
      <c r="E15" s="11">
        <f>IF(WEEKDAY(A15,2)&lt;=5,Übersicht!$B$4,0)</f>
        <v>8</v>
      </c>
      <c r="F15" s="11">
        <f t="shared" si="0"/>
        <v>0</v>
      </c>
      <c r="G15" s="26"/>
    </row>
    <row r="16" spans="1:7" x14ac:dyDescent="0.25">
      <c r="A16" s="22">
        <v>46184</v>
      </c>
      <c r="B16" s="23" t="s">
        <v>50</v>
      </c>
      <c r="C16" s="24" t="s">
        <v>85</v>
      </c>
      <c r="D16" s="25">
        <v>8</v>
      </c>
      <c r="E16" s="11">
        <f>IF(WEEKDAY(A16,2)&lt;=5,Übersicht!$B$4,0)</f>
        <v>8</v>
      </c>
      <c r="F16" s="11">
        <f t="shared" si="0"/>
        <v>0</v>
      </c>
      <c r="G16" s="26"/>
    </row>
    <row r="17" spans="1:7" x14ac:dyDescent="0.25">
      <c r="A17" s="22">
        <v>46185</v>
      </c>
      <c r="B17" s="23" t="s">
        <v>51</v>
      </c>
      <c r="C17" s="24" t="s">
        <v>85</v>
      </c>
      <c r="D17" s="25">
        <v>8</v>
      </c>
      <c r="E17" s="11">
        <f>IF(WEEKDAY(A17,2)&lt;=5,Übersicht!$B$4,0)</f>
        <v>8</v>
      </c>
      <c r="F17" s="11">
        <f t="shared" si="0"/>
        <v>0</v>
      </c>
      <c r="G17" s="26"/>
    </row>
    <row r="18" spans="1:7" x14ac:dyDescent="0.25">
      <c r="A18" s="16">
        <v>46186</v>
      </c>
      <c r="B18" s="17" t="s">
        <v>45</v>
      </c>
      <c r="C18" s="18"/>
      <c r="D18" s="19"/>
      <c r="E18" s="20">
        <f>IF(WEEKDAY(A18,2)&lt;=5,Übersicht!$B$4,0)</f>
        <v>0</v>
      </c>
      <c r="F18" s="20" t="str">
        <f t="shared" si="0"/>
        <v/>
      </c>
      <c r="G18" s="21"/>
    </row>
    <row r="19" spans="1:7" x14ac:dyDescent="0.25">
      <c r="A19" s="16">
        <v>46187</v>
      </c>
      <c r="B19" s="17" t="s">
        <v>46</v>
      </c>
      <c r="C19" s="18"/>
      <c r="D19" s="19"/>
      <c r="E19" s="20">
        <f>IF(WEEKDAY(A19,2)&lt;=5,Übersicht!$B$4,0)</f>
        <v>0</v>
      </c>
      <c r="F19" s="20" t="str">
        <f t="shared" si="0"/>
        <v/>
      </c>
      <c r="G19" s="21"/>
    </row>
    <row r="20" spans="1:7" x14ac:dyDescent="0.25">
      <c r="A20" s="22">
        <v>46188</v>
      </c>
      <c r="B20" s="23" t="s">
        <v>47</v>
      </c>
      <c r="C20" s="24" t="s">
        <v>85</v>
      </c>
      <c r="D20" s="25">
        <v>8</v>
      </c>
      <c r="E20" s="11">
        <f>IF(WEEKDAY(A20,2)&lt;=5,Übersicht!$B$4,0)</f>
        <v>8</v>
      </c>
      <c r="F20" s="11">
        <f t="shared" si="0"/>
        <v>0</v>
      </c>
      <c r="G20" s="26"/>
    </row>
    <row r="21" spans="1:7" x14ac:dyDescent="0.25">
      <c r="A21" s="22">
        <v>46189</v>
      </c>
      <c r="B21" s="23" t="s">
        <v>48</v>
      </c>
      <c r="C21" s="24" t="s">
        <v>85</v>
      </c>
      <c r="D21" s="25">
        <v>8</v>
      </c>
      <c r="E21" s="11">
        <f>IF(WEEKDAY(A21,2)&lt;=5,Übersicht!$B$4,0)</f>
        <v>8</v>
      </c>
      <c r="F21" s="11">
        <f t="shared" si="0"/>
        <v>0</v>
      </c>
      <c r="G21" s="26"/>
    </row>
    <row r="22" spans="1:7" x14ac:dyDescent="0.25">
      <c r="A22" s="22">
        <v>46190</v>
      </c>
      <c r="B22" s="23" t="s">
        <v>49</v>
      </c>
      <c r="C22" s="24" t="s">
        <v>85</v>
      </c>
      <c r="D22" s="25">
        <v>8</v>
      </c>
      <c r="E22" s="11">
        <f>IF(WEEKDAY(A22,2)&lt;=5,Übersicht!$B$4,0)</f>
        <v>8</v>
      </c>
      <c r="F22" s="11">
        <f t="shared" si="0"/>
        <v>0</v>
      </c>
      <c r="G22" s="26"/>
    </row>
    <row r="23" spans="1:7" x14ac:dyDescent="0.25">
      <c r="A23" s="22">
        <v>46191</v>
      </c>
      <c r="B23" s="23" t="s">
        <v>50</v>
      </c>
      <c r="C23" s="24" t="s">
        <v>85</v>
      </c>
      <c r="D23" s="25">
        <v>8</v>
      </c>
      <c r="E23" s="11">
        <f>IF(WEEKDAY(A23,2)&lt;=5,Übersicht!$B$4,0)</f>
        <v>8</v>
      </c>
      <c r="F23" s="11">
        <f t="shared" si="0"/>
        <v>0</v>
      </c>
      <c r="G23" s="26"/>
    </row>
    <row r="24" spans="1:7" x14ac:dyDescent="0.25">
      <c r="A24" s="22">
        <v>46192</v>
      </c>
      <c r="B24" s="23" t="s">
        <v>51</v>
      </c>
      <c r="C24" s="24" t="s">
        <v>85</v>
      </c>
      <c r="D24" s="25">
        <v>8</v>
      </c>
      <c r="E24" s="11">
        <f>IF(WEEKDAY(A24,2)&lt;=5,Übersicht!$B$4,0)</f>
        <v>8</v>
      </c>
      <c r="F24" s="11">
        <f t="shared" si="0"/>
        <v>0</v>
      </c>
      <c r="G24" s="26"/>
    </row>
    <row r="25" spans="1:7" x14ac:dyDescent="0.25">
      <c r="A25" s="16">
        <v>46193</v>
      </c>
      <c r="B25" s="17" t="s">
        <v>45</v>
      </c>
      <c r="C25" s="18"/>
      <c r="D25" s="19"/>
      <c r="E25" s="20">
        <f>IF(WEEKDAY(A25,2)&lt;=5,Übersicht!$B$4,0)</f>
        <v>0</v>
      </c>
      <c r="F25" s="20" t="str">
        <f t="shared" si="0"/>
        <v/>
      </c>
      <c r="G25" s="21"/>
    </row>
    <row r="26" spans="1:7" x14ac:dyDescent="0.25">
      <c r="A26" s="16">
        <v>46194</v>
      </c>
      <c r="B26" s="17" t="s">
        <v>46</v>
      </c>
      <c r="C26" s="18"/>
      <c r="D26" s="19"/>
      <c r="E26" s="20">
        <f>IF(WEEKDAY(A26,2)&lt;=5,Übersicht!$B$4,0)</f>
        <v>0</v>
      </c>
      <c r="F26" s="20" t="str">
        <f t="shared" si="0"/>
        <v/>
      </c>
      <c r="G26" s="21"/>
    </row>
    <row r="27" spans="1:7" x14ac:dyDescent="0.25">
      <c r="A27" s="22">
        <v>46195</v>
      </c>
      <c r="B27" s="23" t="s">
        <v>47</v>
      </c>
      <c r="C27" s="24" t="s">
        <v>85</v>
      </c>
      <c r="D27" s="25">
        <v>8</v>
      </c>
      <c r="E27" s="11">
        <f>IF(WEEKDAY(A27,2)&lt;=5,Übersicht!$B$4,0)</f>
        <v>8</v>
      </c>
      <c r="F27" s="11">
        <f t="shared" si="0"/>
        <v>0</v>
      </c>
      <c r="G27" s="26"/>
    </row>
    <row r="28" spans="1:7" x14ac:dyDescent="0.25">
      <c r="A28" s="22">
        <v>46196</v>
      </c>
      <c r="B28" s="23" t="s">
        <v>48</v>
      </c>
      <c r="C28" s="24" t="s">
        <v>85</v>
      </c>
      <c r="D28" s="25">
        <v>8</v>
      </c>
      <c r="E28" s="11">
        <f>IF(WEEKDAY(A28,2)&lt;=5,Übersicht!$B$4,0)</f>
        <v>8</v>
      </c>
      <c r="F28" s="11">
        <f t="shared" si="0"/>
        <v>0</v>
      </c>
      <c r="G28" s="26"/>
    </row>
    <row r="29" spans="1:7" x14ac:dyDescent="0.25">
      <c r="A29" s="22">
        <v>46197</v>
      </c>
      <c r="B29" s="23" t="s">
        <v>49</v>
      </c>
      <c r="C29" s="24" t="s">
        <v>85</v>
      </c>
      <c r="D29" s="25">
        <v>8</v>
      </c>
      <c r="E29" s="11">
        <f>IF(WEEKDAY(A29,2)&lt;=5,Übersicht!$B$4,0)</f>
        <v>8</v>
      </c>
      <c r="F29" s="11">
        <f t="shared" si="0"/>
        <v>0</v>
      </c>
      <c r="G29" s="26"/>
    </row>
    <row r="30" spans="1:7" x14ac:dyDescent="0.25">
      <c r="A30" s="22">
        <v>46198</v>
      </c>
      <c r="B30" s="23" t="s">
        <v>50</v>
      </c>
      <c r="C30" s="24" t="s">
        <v>85</v>
      </c>
      <c r="D30" s="25">
        <v>8</v>
      </c>
      <c r="E30" s="11">
        <f>IF(WEEKDAY(A30,2)&lt;=5,Übersicht!$B$4,0)</f>
        <v>8</v>
      </c>
      <c r="F30" s="11">
        <f t="shared" si="0"/>
        <v>0</v>
      </c>
      <c r="G30" s="26"/>
    </row>
    <row r="31" spans="1:7" x14ac:dyDescent="0.25">
      <c r="A31" s="22">
        <v>46199</v>
      </c>
      <c r="B31" s="23" t="s">
        <v>51</v>
      </c>
      <c r="C31" s="24" t="s">
        <v>85</v>
      </c>
      <c r="D31" s="25">
        <v>8</v>
      </c>
      <c r="E31" s="11">
        <f>IF(WEEKDAY(A31,2)&lt;=5,Übersicht!$B$4,0)</f>
        <v>8</v>
      </c>
      <c r="F31" s="11">
        <f t="shared" si="0"/>
        <v>0</v>
      </c>
      <c r="G31" s="26"/>
    </row>
    <row r="32" spans="1:7" x14ac:dyDescent="0.25">
      <c r="A32" s="16">
        <v>46200</v>
      </c>
      <c r="B32" s="17" t="s">
        <v>45</v>
      </c>
      <c r="C32" s="18"/>
      <c r="D32" s="19"/>
      <c r="E32" s="20">
        <f>IF(WEEKDAY(A32,2)&lt;=5,Übersicht!$B$4,0)</f>
        <v>0</v>
      </c>
      <c r="F32" s="20" t="str">
        <f t="shared" si="0"/>
        <v/>
      </c>
      <c r="G32" s="21"/>
    </row>
    <row r="33" spans="1:7" x14ac:dyDescent="0.25">
      <c r="A33" s="16">
        <v>46201</v>
      </c>
      <c r="B33" s="17" t="s">
        <v>46</v>
      </c>
      <c r="C33" s="18"/>
      <c r="D33" s="19"/>
      <c r="E33" s="20">
        <f>IF(WEEKDAY(A33,2)&lt;=5,Übersicht!$B$4,0)</f>
        <v>0</v>
      </c>
      <c r="F33" s="20" t="str">
        <f t="shared" si="0"/>
        <v/>
      </c>
      <c r="G33" s="21"/>
    </row>
    <row r="34" spans="1:7" x14ac:dyDescent="0.25">
      <c r="A34" s="22">
        <v>46202</v>
      </c>
      <c r="B34" s="23" t="s">
        <v>47</v>
      </c>
      <c r="C34" s="24" t="s">
        <v>85</v>
      </c>
      <c r="D34" s="25">
        <v>8</v>
      </c>
      <c r="E34" s="11">
        <f>IF(WEEKDAY(A34,2)&lt;=5,Übersicht!$B$4,0)</f>
        <v>8</v>
      </c>
      <c r="F34" s="11">
        <f t="shared" si="0"/>
        <v>0</v>
      </c>
      <c r="G34" s="26"/>
    </row>
    <row r="35" spans="1:7" x14ac:dyDescent="0.25">
      <c r="A35" s="22">
        <v>46203</v>
      </c>
      <c r="B35" s="23" t="s">
        <v>48</v>
      </c>
      <c r="C35" s="24" t="s">
        <v>85</v>
      </c>
      <c r="D35" s="25">
        <v>8</v>
      </c>
      <c r="E35" s="11">
        <f>IF(WEEKDAY(A35,2)&lt;=5,Übersicht!$B$4,0)</f>
        <v>8</v>
      </c>
      <c r="F35" s="11">
        <f t="shared" si="0"/>
        <v>0</v>
      </c>
      <c r="G35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176</v>
      </c>
      <c r="E38" s="13">
        <f>SUM(E6:E36)</f>
        <v>176</v>
      </c>
      <c r="F38" s="13">
        <f>SUM(F6:F36)</f>
        <v>0</v>
      </c>
      <c r="G38" s="27"/>
    </row>
    <row r="39" spans="1:7" x14ac:dyDescent="0.25">
      <c r="A39" s="6" t="s">
        <v>11</v>
      </c>
      <c r="B39" s="28">
        <f>COUNTIF(E6:E36,"&gt;0")</f>
        <v>22</v>
      </c>
    </row>
    <row r="40" spans="1:7" x14ac:dyDescent="0.25">
      <c r="A40" s="6" t="s">
        <v>16</v>
      </c>
      <c r="B40" s="28">
        <f>COUNTIF(C6:C36,"U")</f>
        <v>4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Übersicht!F32</f>
        <v>-156</v>
      </c>
    </row>
  </sheetData>
  <mergeCells count="1">
    <mergeCell ref="B2:D2"/>
  </mergeCells>
  <dataValidations count="1">
    <dataValidation type="list" allowBlank="1" sqref="C6:C35" xr:uid="{00000000-0002-0000-11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D23" sqref="D23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83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22">
        <v>46204</v>
      </c>
      <c r="B6" s="23" t="s">
        <v>49</v>
      </c>
      <c r="C6" s="24" t="s">
        <v>85</v>
      </c>
      <c r="D6" s="25">
        <v>8</v>
      </c>
      <c r="E6" s="11">
        <f>IF(WEEKDAY(A6,2)&lt;=5,Übersicht!$B$4,0)</f>
        <v>8</v>
      </c>
      <c r="F6" s="11">
        <f t="shared" ref="F6:F36" si="0">IF(OR(C6="U",C6="K",C6="F",C6="G"),IF(D6="",0,D6),IF(D6="","",D6-E6))</f>
        <v>0</v>
      </c>
      <c r="G6" s="26"/>
    </row>
    <row r="7" spans="1:7" x14ac:dyDescent="0.25">
      <c r="A7" s="22">
        <v>46205</v>
      </c>
      <c r="B7" s="23" t="s">
        <v>50</v>
      </c>
      <c r="C7" s="24" t="s">
        <v>85</v>
      </c>
      <c r="D7" s="25">
        <v>8</v>
      </c>
      <c r="E7" s="11">
        <f>IF(WEEKDAY(A7,2)&lt;=5,Übersicht!$B$4,0)</f>
        <v>8</v>
      </c>
      <c r="F7" s="11">
        <f t="shared" si="0"/>
        <v>0</v>
      </c>
      <c r="G7" s="26"/>
    </row>
    <row r="8" spans="1:7" x14ac:dyDescent="0.25">
      <c r="A8" s="22">
        <v>46206</v>
      </c>
      <c r="B8" s="23" t="s">
        <v>51</v>
      </c>
      <c r="C8" s="24" t="s">
        <v>85</v>
      </c>
      <c r="D8" s="25">
        <v>8</v>
      </c>
      <c r="E8" s="11">
        <f>IF(WEEKDAY(A8,2)&lt;=5,Übersicht!$B$4,0)</f>
        <v>8</v>
      </c>
      <c r="F8" s="11">
        <f t="shared" si="0"/>
        <v>0</v>
      </c>
      <c r="G8" s="26"/>
    </row>
    <row r="9" spans="1:7" x14ac:dyDescent="0.25">
      <c r="A9" s="16">
        <v>46207</v>
      </c>
      <c r="B9" s="17" t="s">
        <v>45</v>
      </c>
      <c r="C9" s="18"/>
      <c r="D9" s="19"/>
      <c r="E9" s="20">
        <f>IF(WEEKDAY(A9,2)&lt;=5,Übersicht!$B$4,0)</f>
        <v>0</v>
      </c>
      <c r="F9" s="20" t="str">
        <f t="shared" si="0"/>
        <v/>
      </c>
      <c r="G9" s="21"/>
    </row>
    <row r="10" spans="1:7" x14ac:dyDescent="0.25">
      <c r="A10" s="16">
        <v>46208</v>
      </c>
      <c r="B10" s="17" t="s">
        <v>46</v>
      </c>
      <c r="C10" s="18"/>
      <c r="D10" s="19"/>
      <c r="E10" s="20">
        <f>IF(WEEKDAY(A10,2)&lt;=5,Übersicht!$B$4,0)</f>
        <v>0</v>
      </c>
      <c r="F10" s="20" t="str">
        <f t="shared" si="0"/>
        <v/>
      </c>
      <c r="G10" s="21"/>
    </row>
    <row r="11" spans="1:7" x14ac:dyDescent="0.25">
      <c r="A11" s="22">
        <v>46209</v>
      </c>
      <c r="B11" s="23" t="s">
        <v>47</v>
      </c>
      <c r="C11" s="24" t="s">
        <v>85</v>
      </c>
      <c r="D11" s="25">
        <v>8</v>
      </c>
      <c r="E11" s="11">
        <f>IF(WEEKDAY(A11,2)&lt;=5,Übersicht!$B$4,0)</f>
        <v>8</v>
      </c>
      <c r="F11" s="11">
        <f t="shared" si="0"/>
        <v>0</v>
      </c>
      <c r="G11" s="26"/>
    </row>
    <row r="12" spans="1:7" x14ac:dyDescent="0.25">
      <c r="A12" s="22">
        <v>46210</v>
      </c>
      <c r="B12" s="23" t="s">
        <v>48</v>
      </c>
      <c r="C12" s="24" t="s">
        <v>85</v>
      </c>
      <c r="D12" s="25">
        <v>8</v>
      </c>
      <c r="E12" s="11">
        <f>IF(WEEKDAY(A12,2)&lt;=5,Übersicht!$B$4,0)</f>
        <v>8</v>
      </c>
      <c r="F12" s="11">
        <f t="shared" si="0"/>
        <v>0</v>
      </c>
      <c r="G12" s="26"/>
    </row>
    <row r="13" spans="1:7" x14ac:dyDescent="0.25">
      <c r="A13" s="22">
        <v>46211</v>
      </c>
      <c r="B13" s="23" t="s">
        <v>49</v>
      </c>
      <c r="C13" s="24" t="s">
        <v>85</v>
      </c>
      <c r="D13" s="25">
        <v>8</v>
      </c>
      <c r="E13" s="11">
        <f>IF(WEEKDAY(A13,2)&lt;=5,Übersicht!$B$4,0)</f>
        <v>8</v>
      </c>
      <c r="F13" s="11">
        <f t="shared" si="0"/>
        <v>0</v>
      </c>
      <c r="G13" s="26"/>
    </row>
    <row r="14" spans="1:7" x14ac:dyDescent="0.25">
      <c r="A14" s="22">
        <v>46212</v>
      </c>
      <c r="B14" s="23" t="s">
        <v>50</v>
      </c>
      <c r="C14" s="24" t="s">
        <v>85</v>
      </c>
      <c r="D14" s="25">
        <v>8</v>
      </c>
      <c r="E14" s="11">
        <f>IF(WEEKDAY(A14,2)&lt;=5,Übersicht!$B$4,0)</f>
        <v>8</v>
      </c>
      <c r="F14" s="11">
        <f t="shared" si="0"/>
        <v>0</v>
      </c>
      <c r="G14" s="26"/>
    </row>
    <row r="15" spans="1:7" x14ac:dyDescent="0.25">
      <c r="A15" s="22">
        <v>46213</v>
      </c>
      <c r="B15" s="23" t="s">
        <v>51</v>
      </c>
      <c r="C15" s="24" t="s">
        <v>88</v>
      </c>
      <c r="D15" s="25"/>
      <c r="E15" s="11">
        <f>IF(WEEKDAY(A15,2)&lt;=5,Übersicht!$B$4,0)</f>
        <v>8</v>
      </c>
      <c r="F15" s="11" t="str">
        <f t="shared" si="0"/>
        <v/>
      </c>
      <c r="G15" s="26" t="s">
        <v>95</v>
      </c>
    </row>
    <row r="16" spans="1:7" x14ac:dyDescent="0.25">
      <c r="A16" s="16">
        <v>46214</v>
      </c>
      <c r="B16" s="17" t="s">
        <v>45</v>
      </c>
      <c r="C16" s="18"/>
      <c r="D16" s="19"/>
      <c r="E16" s="20">
        <f>IF(WEEKDAY(A16,2)&lt;=5,Übersicht!$B$4,0)</f>
        <v>0</v>
      </c>
      <c r="F16" s="20" t="str">
        <f t="shared" si="0"/>
        <v/>
      </c>
      <c r="G16" s="21"/>
    </row>
    <row r="17" spans="1:7" x14ac:dyDescent="0.25">
      <c r="A17" s="16">
        <v>46215</v>
      </c>
      <c r="B17" s="17" t="s">
        <v>46</v>
      </c>
      <c r="C17" s="18"/>
      <c r="D17" s="19"/>
      <c r="E17" s="20">
        <f>IF(WEEKDAY(A17,2)&lt;=5,Übersicht!$B$4,0)</f>
        <v>0</v>
      </c>
      <c r="F17" s="20" t="str">
        <f t="shared" si="0"/>
        <v/>
      </c>
      <c r="G17" s="21"/>
    </row>
    <row r="18" spans="1:7" x14ac:dyDescent="0.25">
      <c r="A18" s="22">
        <v>46216</v>
      </c>
      <c r="B18" s="23" t="s">
        <v>47</v>
      </c>
      <c r="C18" s="24" t="s">
        <v>85</v>
      </c>
      <c r="D18" s="25">
        <v>8</v>
      </c>
      <c r="E18" s="11">
        <f>IF(WEEKDAY(A18,2)&lt;=5,Übersicht!$B$4,0)</f>
        <v>8</v>
      </c>
      <c r="F18" s="11">
        <f t="shared" si="0"/>
        <v>0</v>
      </c>
      <c r="G18" s="26"/>
    </row>
    <row r="19" spans="1:7" x14ac:dyDescent="0.25">
      <c r="A19" s="22">
        <v>46217</v>
      </c>
      <c r="B19" s="23" t="s">
        <v>48</v>
      </c>
      <c r="C19" s="24" t="s">
        <v>85</v>
      </c>
      <c r="D19" s="25">
        <v>8</v>
      </c>
      <c r="E19" s="11">
        <f>IF(WEEKDAY(A19,2)&lt;=5,Übersicht!$B$4,0)</f>
        <v>8</v>
      </c>
      <c r="F19" s="11">
        <f t="shared" si="0"/>
        <v>0</v>
      </c>
      <c r="G19" s="26"/>
    </row>
    <row r="20" spans="1:7" x14ac:dyDescent="0.25">
      <c r="A20" s="22">
        <v>46218</v>
      </c>
      <c r="B20" s="23" t="s">
        <v>49</v>
      </c>
      <c r="C20" s="24" t="s">
        <v>85</v>
      </c>
      <c r="D20" s="25">
        <v>8</v>
      </c>
      <c r="E20" s="11">
        <f>IF(WEEKDAY(A20,2)&lt;=5,Übersicht!$B$4,0)</f>
        <v>8</v>
      </c>
      <c r="F20" s="11">
        <f t="shared" si="0"/>
        <v>0</v>
      </c>
      <c r="G20" s="26"/>
    </row>
    <row r="21" spans="1:7" x14ac:dyDescent="0.25">
      <c r="A21" s="22">
        <v>46219</v>
      </c>
      <c r="B21" s="23" t="s">
        <v>50</v>
      </c>
      <c r="C21" s="24" t="s">
        <v>85</v>
      </c>
      <c r="D21" s="25">
        <v>8</v>
      </c>
      <c r="E21" s="11">
        <f>IF(WEEKDAY(A21,2)&lt;=5,Übersicht!$B$4,0)</f>
        <v>8</v>
      </c>
      <c r="F21" s="11">
        <f t="shared" si="0"/>
        <v>0</v>
      </c>
      <c r="G21" s="26"/>
    </row>
    <row r="22" spans="1:7" x14ac:dyDescent="0.25">
      <c r="A22" s="22">
        <v>46220</v>
      </c>
      <c r="B22" s="23" t="s">
        <v>51</v>
      </c>
      <c r="C22" s="24" t="s">
        <v>87</v>
      </c>
      <c r="D22" s="25"/>
      <c r="E22" s="11">
        <f>IF(WEEKDAY(A22,2)&lt;=5,Übersicht!$B$4,0)</f>
        <v>8</v>
      </c>
      <c r="F22" s="11">
        <f t="shared" si="0"/>
        <v>0</v>
      </c>
      <c r="G22" s="26"/>
    </row>
    <row r="23" spans="1:7" x14ac:dyDescent="0.25">
      <c r="A23" s="16">
        <v>46221</v>
      </c>
      <c r="B23" s="17" t="s">
        <v>45</v>
      </c>
      <c r="C23" s="18"/>
      <c r="D23" s="19"/>
      <c r="E23" s="20">
        <f>IF(WEEKDAY(A23,2)&lt;=5,Übersicht!$B$4,0)</f>
        <v>0</v>
      </c>
      <c r="F23" s="20" t="str">
        <f t="shared" si="0"/>
        <v/>
      </c>
      <c r="G23" s="21"/>
    </row>
    <row r="24" spans="1:7" x14ac:dyDescent="0.25">
      <c r="A24" s="16">
        <v>46222</v>
      </c>
      <c r="B24" s="17" t="s">
        <v>46</v>
      </c>
      <c r="C24" s="18"/>
      <c r="D24" s="19"/>
      <c r="E24" s="20">
        <f>IF(WEEKDAY(A24,2)&lt;=5,Übersicht!$B$4,0)</f>
        <v>0</v>
      </c>
      <c r="F24" s="20" t="str">
        <f t="shared" si="0"/>
        <v/>
      </c>
      <c r="G24" s="21"/>
    </row>
    <row r="25" spans="1:7" x14ac:dyDescent="0.25">
      <c r="A25" s="22">
        <v>46223</v>
      </c>
      <c r="B25" s="23" t="s">
        <v>47</v>
      </c>
      <c r="C25" s="24" t="s">
        <v>85</v>
      </c>
      <c r="D25" s="25">
        <v>8</v>
      </c>
      <c r="E25" s="11">
        <f>IF(WEEKDAY(A25,2)&lt;=5,Übersicht!$B$4,0)</f>
        <v>8</v>
      </c>
      <c r="F25" s="11">
        <f t="shared" si="0"/>
        <v>0</v>
      </c>
      <c r="G25" s="26"/>
    </row>
    <row r="26" spans="1:7" x14ac:dyDescent="0.25">
      <c r="A26" s="22">
        <v>46224</v>
      </c>
      <c r="B26" s="23" t="s">
        <v>48</v>
      </c>
      <c r="C26" s="24" t="s">
        <v>85</v>
      </c>
      <c r="D26" s="25">
        <v>8</v>
      </c>
      <c r="E26" s="11">
        <f>IF(WEEKDAY(A26,2)&lt;=5,Übersicht!$B$4,0)</f>
        <v>8</v>
      </c>
      <c r="F26" s="11">
        <f t="shared" si="0"/>
        <v>0</v>
      </c>
      <c r="G26" s="26"/>
    </row>
    <row r="27" spans="1:7" x14ac:dyDescent="0.25">
      <c r="A27" s="22">
        <v>46225</v>
      </c>
      <c r="B27" s="23" t="s">
        <v>49</v>
      </c>
      <c r="C27" s="24" t="s">
        <v>85</v>
      </c>
      <c r="D27" s="25">
        <v>8</v>
      </c>
      <c r="E27" s="11">
        <f>IF(WEEKDAY(A27,2)&lt;=5,Übersicht!$B$4,0)</f>
        <v>8</v>
      </c>
      <c r="F27" s="11">
        <f t="shared" si="0"/>
        <v>0</v>
      </c>
      <c r="G27" s="26"/>
    </row>
    <row r="28" spans="1:7" x14ac:dyDescent="0.25">
      <c r="A28" s="22">
        <v>46226</v>
      </c>
      <c r="B28" s="23" t="s">
        <v>50</v>
      </c>
      <c r="C28" s="24" t="s">
        <v>85</v>
      </c>
      <c r="D28" s="25">
        <v>8</v>
      </c>
      <c r="E28" s="11">
        <f>IF(WEEKDAY(A28,2)&lt;=5,Übersicht!$B$4,0)</f>
        <v>8</v>
      </c>
      <c r="F28" s="11">
        <f t="shared" si="0"/>
        <v>0</v>
      </c>
      <c r="G28" s="26"/>
    </row>
    <row r="29" spans="1:7" x14ac:dyDescent="0.25">
      <c r="A29" s="22">
        <v>46227</v>
      </c>
      <c r="B29" s="23" t="s">
        <v>51</v>
      </c>
      <c r="C29" s="24" t="s">
        <v>85</v>
      </c>
      <c r="D29" s="25">
        <v>8</v>
      </c>
      <c r="E29" s="11">
        <f>IF(WEEKDAY(A29,2)&lt;=5,Übersicht!$B$4,0)</f>
        <v>8</v>
      </c>
      <c r="F29" s="11">
        <f t="shared" si="0"/>
        <v>0</v>
      </c>
      <c r="G29" s="26"/>
    </row>
    <row r="30" spans="1:7" x14ac:dyDescent="0.25">
      <c r="A30" s="16">
        <v>46228</v>
      </c>
      <c r="B30" s="17" t="s">
        <v>45</v>
      </c>
      <c r="C30" s="18"/>
      <c r="D30" s="19"/>
      <c r="E30" s="20">
        <f>IF(WEEKDAY(A30,2)&lt;=5,Übersicht!$B$4,0)</f>
        <v>0</v>
      </c>
      <c r="F30" s="20" t="str">
        <f t="shared" si="0"/>
        <v/>
      </c>
      <c r="G30" s="21"/>
    </row>
    <row r="31" spans="1:7" x14ac:dyDescent="0.25">
      <c r="A31" s="16">
        <v>46229</v>
      </c>
      <c r="B31" s="17" t="s">
        <v>46</v>
      </c>
      <c r="C31" s="18"/>
      <c r="D31" s="19"/>
      <c r="E31" s="20">
        <f>IF(WEEKDAY(A31,2)&lt;=5,Übersicht!$B$4,0)</f>
        <v>0</v>
      </c>
      <c r="F31" s="20" t="str">
        <f t="shared" si="0"/>
        <v/>
      </c>
      <c r="G31" s="21"/>
    </row>
    <row r="32" spans="1:7" x14ac:dyDescent="0.25">
      <c r="A32" s="22">
        <v>46230</v>
      </c>
      <c r="B32" s="23" t="s">
        <v>47</v>
      </c>
      <c r="C32" s="24" t="s">
        <v>85</v>
      </c>
      <c r="D32" s="25">
        <v>8</v>
      </c>
      <c r="E32" s="11">
        <f>IF(WEEKDAY(A32,2)&lt;=5,Übersicht!$B$4,0)</f>
        <v>8</v>
      </c>
      <c r="F32" s="11">
        <f t="shared" si="0"/>
        <v>0</v>
      </c>
      <c r="G32" s="26"/>
    </row>
    <row r="33" spans="1:7" x14ac:dyDescent="0.25">
      <c r="A33" s="22">
        <v>46231</v>
      </c>
      <c r="B33" s="23" t="s">
        <v>48</v>
      </c>
      <c r="C33" s="24" t="s">
        <v>85</v>
      </c>
      <c r="D33" s="25">
        <v>8</v>
      </c>
      <c r="E33" s="11">
        <f>IF(WEEKDAY(A33,2)&lt;=5,Übersicht!$B$4,0)</f>
        <v>8</v>
      </c>
      <c r="F33" s="11">
        <f t="shared" si="0"/>
        <v>0</v>
      </c>
      <c r="G33" s="26"/>
    </row>
    <row r="34" spans="1:7" x14ac:dyDescent="0.25">
      <c r="A34" s="22">
        <v>46232</v>
      </c>
      <c r="B34" s="23" t="s">
        <v>49</v>
      </c>
      <c r="C34" s="24" t="s">
        <v>85</v>
      </c>
      <c r="D34" s="25">
        <v>8</v>
      </c>
      <c r="E34" s="11">
        <f>IF(WEEKDAY(A34,2)&lt;=5,Übersicht!$B$4,0)</f>
        <v>8</v>
      </c>
      <c r="F34" s="11">
        <f t="shared" si="0"/>
        <v>0</v>
      </c>
      <c r="G34" s="26"/>
    </row>
    <row r="35" spans="1:7" x14ac:dyDescent="0.25">
      <c r="A35" s="22">
        <v>46233</v>
      </c>
      <c r="B35" s="23" t="s">
        <v>50</v>
      </c>
      <c r="C35" s="24" t="s">
        <v>85</v>
      </c>
      <c r="D35" s="25">
        <v>8</v>
      </c>
      <c r="E35" s="11">
        <f>IF(WEEKDAY(A35,2)&lt;=5,Übersicht!$B$4,0)</f>
        <v>8</v>
      </c>
      <c r="F35" s="11">
        <f t="shared" si="0"/>
        <v>0</v>
      </c>
      <c r="G35" s="26"/>
    </row>
    <row r="36" spans="1:7" x14ac:dyDescent="0.25">
      <c r="A36" s="22">
        <v>46234</v>
      </c>
      <c r="B36" s="23" t="s">
        <v>51</v>
      </c>
      <c r="C36" s="24" t="s">
        <v>85</v>
      </c>
      <c r="D36" s="25">
        <v>8</v>
      </c>
      <c r="E36" s="11">
        <f>IF(WEEKDAY(A36,2)&lt;=5,Übersicht!$B$4,0)</f>
        <v>8</v>
      </c>
      <c r="F36" s="11">
        <f t="shared" si="0"/>
        <v>0</v>
      </c>
      <c r="G36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176</v>
      </c>
      <c r="E38" s="13">
        <f>SUM(E6:E36)</f>
        <v>184</v>
      </c>
      <c r="F38" s="13">
        <f>SUM(F6:F36)</f>
        <v>0</v>
      </c>
      <c r="G38" s="27"/>
    </row>
    <row r="39" spans="1:7" x14ac:dyDescent="0.25">
      <c r="A39" s="6" t="s">
        <v>11</v>
      </c>
      <c r="B39" s="28">
        <f>COUNTIF(E6:E36,"&gt;0")</f>
        <v>23</v>
      </c>
    </row>
    <row r="40" spans="1:7" x14ac:dyDescent="0.25">
      <c r="A40" s="6" t="s">
        <v>16</v>
      </c>
      <c r="B40" s="28">
        <f>COUNTIF(C6:C36,"U")</f>
        <v>1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Übersicht!F33</f>
        <v>-156</v>
      </c>
    </row>
  </sheetData>
  <mergeCells count="1">
    <mergeCell ref="B2:D2"/>
  </mergeCells>
  <dataValidations count="1">
    <dataValidation type="list" allowBlank="1" sqref="C6:C36" xr:uid="{00000000-0002-0000-12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J35" sqref="J35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84</v>
      </c>
    </row>
    <row r="2" spans="1:7" x14ac:dyDescent="0.25">
      <c r="A2" s="3" t="s">
        <v>39</v>
      </c>
      <c r="B2" s="1" t="s">
        <v>86</v>
      </c>
      <c r="C2" s="1"/>
      <c r="D2" s="1"/>
    </row>
    <row r="3" spans="1:7" x14ac:dyDescent="0.25">
      <c r="A3" s="14" t="s">
        <v>40</v>
      </c>
    </row>
    <row r="5" spans="1:7" x14ac:dyDescent="0.25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spans="1:7" x14ac:dyDescent="0.25">
      <c r="A6" s="16">
        <v>46235</v>
      </c>
      <c r="B6" s="17" t="s">
        <v>45</v>
      </c>
      <c r="C6" s="18"/>
      <c r="D6" s="19"/>
      <c r="E6" s="20">
        <f>IF(WEEKDAY(A6,2)&lt;=5,Übersicht!$B$4,0)</f>
        <v>0</v>
      </c>
      <c r="F6" s="20" t="str">
        <f t="shared" ref="F6:F36" si="0">IF(OR(C6="U",C6="K",C6="F",C6="G"),IF(D6="",0,D6),IF(D6="","",D6-E6))</f>
        <v/>
      </c>
      <c r="G6" s="21"/>
    </row>
    <row r="7" spans="1:7" x14ac:dyDescent="0.25">
      <c r="A7" s="16">
        <v>46236</v>
      </c>
      <c r="B7" s="17" t="s">
        <v>46</v>
      </c>
      <c r="C7" s="18"/>
      <c r="D7" s="19"/>
      <c r="E7" s="20">
        <f>IF(WEEKDAY(A7,2)&lt;=5,Übersicht!$B$4,0)</f>
        <v>0</v>
      </c>
      <c r="F7" s="20" t="str">
        <f t="shared" si="0"/>
        <v/>
      </c>
      <c r="G7" s="21"/>
    </row>
    <row r="8" spans="1:7" x14ac:dyDescent="0.25">
      <c r="A8" s="22">
        <v>46237</v>
      </c>
      <c r="B8" s="23" t="s">
        <v>47</v>
      </c>
      <c r="C8" s="24" t="s">
        <v>85</v>
      </c>
      <c r="D8" s="25">
        <v>8</v>
      </c>
      <c r="E8" s="11">
        <f>IF(WEEKDAY(A8,2)&lt;=5,Übersicht!$B$4,0)</f>
        <v>8</v>
      </c>
      <c r="F8" s="11">
        <f t="shared" si="0"/>
        <v>0</v>
      </c>
      <c r="G8" s="26"/>
    </row>
    <row r="9" spans="1:7" x14ac:dyDescent="0.25">
      <c r="A9" s="22">
        <v>46238</v>
      </c>
      <c r="B9" s="23" t="s">
        <v>48</v>
      </c>
      <c r="C9" s="24" t="s">
        <v>85</v>
      </c>
      <c r="D9" s="25">
        <v>8</v>
      </c>
      <c r="E9" s="11">
        <f>IF(WEEKDAY(A9,2)&lt;=5,Übersicht!$B$4,0)</f>
        <v>8</v>
      </c>
      <c r="F9" s="11">
        <f t="shared" si="0"/>
        <v>0</v>
      </c>
      <c r="G9" s="26"/>
    </row>
    <row r="10" spans="1:7" x14ac:dyDescent="0.25">
      <c r="A10" s="22">
        <v>46239</v>
      </c>
      <c r="B10" s="23" t="s">
        <v>49</v>
      </c>
      <c r="C10" s="24" t="s">
        <v>85</v>
      </c>
      <c r="D10" s="25">
        <v>8</v>
      </c>
      <c r="E10" s="11">
        <f>IF(WEEKDAY(A10,2)&lt;=5,Übersicht!$B$4,0)</f>
        <v>8</v>
      </c>
      <c r="F10" s="11">
        <f t="shared" si="0"/>
        <v>0</v>
      </c>
      <c r="G10" s="26"/>
    </row>
    <row r="11" spans="1:7" x14ac:dyDescent="0.25">
      <c r="A11" s="22">
        <v>46240</v>
      </c>
      <c r="B11" s="23" t="s">
        <v>50</v>
      </c>
      <c r="C11" s="24" t="s">
        <v>85</v>
      </c>
      <c r="D11" s="25">
        <v>8</v>
      </c>
      <c r="E11" s="11">
        <f>IF(WEEKDAY(A11,2)&lt;=5,Übersicht!$B$4,0)</f>
        <v>8</v>
      </c>
      <c r="F11" s="11">
        <f t="shared" si="0"/>
        <v>0</v>
      </c>
      <c r="G11" s="26"/>
    </row>
    <row r="12" spans="1:7" x14ac:dyDescent="0.25">
      <c r="A12" s="22">
        <v>46241</v>
      </c>
      <c r="B12" s="23" t="s">
        <v>51</v>
      </c>
      <c r="C12" s="24" t="s">
        <v>87</v>
      </c>
      <c r="D12" s="25"/>
      <c r="E12" s="11">
        <f>IF(WEEKDAY(A12,2)&lt;=5,Übersicht!$B$4,0)</f>
        <v>8</v>
      </c>
      <c r="F12" s="11">
        <f t="shared" si="0"/>
        <v>0</v>
      </c>
      <c r="G12" s="26"/>
    </row>
    <row r="13" spans="1:7" x14ac:dyDescent="0.25">
      <c r="A13" s="16">
        <v>46242</v>
      </c>
      <c r="B13" s="17" t="s">
        <v>45</v>
      </c>
      <c r="C13" s="18"/>
      <c r="D13" s="19"/>
      <c r="E13" s="20">
        <f>IF(WEEKDAY(A13,2)&lt;=5,Übersicht!$B$4,0)</f>
        <v>0</v>
      </c>
      <c r="F13" s="20" t="str">
        <f t="shared" si="0"/>
        <v/>
      </c>
      <c r="G13" s="21"/>
    </row>
    <row r="14" spans="1:7" x14ac:dyDescent="0.25">
      <c r="A14" s="16">
        <v>46243</v>
      </c>
      <c r="B14" s="17" t="s">
        <v>46</v>
      </c>
      <c r="C14" s="18"/>
      <c r="D14" s="19"/>
      <c r="E14" s="20">
        <f>IF(WEEKDAY(A14,2)&lt;=5,Übersicht!$B$4,0)</f>
        <v>0</v>
      </c>
      <c r="F14" s="20" t="str">
        <f t="shared" si="0"/>
        <v/>
      </c>
      <c r="G14" s="21"/>
    </row>
    <row r="15" spans="1:7" x14ac:dyDescent="0.25">
      <c r="A15" s="22">
        <v>46244</v>
      </c>
      <c r="B15" s="23" t="s">
        <v>47</v>
      </c>
      <c r="C15" s="24" t="s">
        <v>87</v>
      </c>
      <c r="D15" s="25"/>
      <c r="E15" s="11">
        <f>IF(WEEKDAY(A15,2)&lt;=5,Übersicht!$B$4,0)</f>
        <v>8</v>
      </c>
      <c r="F15" s="11">
        <f t="shared" si="0"/>
        <v>0</v>
      </c>
      <c r="G15" s="26"/>
    </row>
    <row r="16" spans="1:7" x14ac:dyDescent="0.25">
      <c r="A16" s="22">
        <v>46245</v>
      </c>
      <c r="B16" s="23" t="s">
        <v>48</v>
      </c>
      <c r="C16" s="24" t="s">
        <v>87</v>
      </c>
      <c r="D16" s="25"/>
      <c r="E16" s="11">
        <f>IF(WEEKDAY(A16,2)&lt;=5,Übersicht!$B$4,0)</f>
        <v>8</v>
      </c>
      <c r="F16" s="11">
        <f t="shared" si="0"/>
        <v>0</v>
      </c>
      <c r="G16" s="26"/>
    </row>
    <row r="17" spans="1:7" x14ac:dyDescent="0.25">
      <c r="A17" s="22">
        <v>46246</v>
      </c>
      <c r="B17" s="23" t="s">
        <v>49</v>
      </c>
      <c r="C17" s="24" t="s">
        <v>87</v>
      </c>
      <c r="D17" s="25"/>
      <c r="E17" s="11">
        <f>IF(WEEKDAY(A17,2)&lt;=5,Übersicht!$B$4,0)</f>
        <v>8</v>
      </c>
      <c r="F17" s="11">
        <f t="shared" si="0"/>
        <v>0</v>
      </c>
      <c r="G17" s="26"/>
    </row>
    <row r="18" spans="1:7" x14ac:dyDescent="0.25">
      <c r="A18" s="22">
        <v>46247</v>
      </c>
      <c r="B18" s="23" t="s">
        <v>50</v>
      </c>
      <c r="C18" s="24" t="s">
        <v>87</v>
      </c>
      <c r="D18" s="25"/>
      <c r="E18" s="11">
        <f>IF(WEEKDAY(A18,2)&lt;=5,Übersicht!$B$4,0)</f>
        <v>8</v>
      </c>
      <c r="F18" s="11">
        <f t="shared" si="0"/>
        <v>0</v>
      </c>
      <c r="G18" s="26"/>
    </row>
    <row r="19" spans="1:7" x14ac:dyDescent="0.25">
      <c r="A19" s="22">
        <v>46248</v>
      </c>
      <c r="B19" s="23" t="s">
        <v>51</v>
      </c>
      <c r="C19" s="24" t="s">
        <v>87</v>
      </c>
      <c r="D19" s="25"/>
      <c r="E19" s="11">
        <f>IF(WEEKDAY(A19,2)&lt;=5,Übersicht!$B$4,0)</f>
        <v>8</v>
      </c>
      <c r="F19" s="11">
        <f t="shared" si="0"/>
        <v>0</v>
      </c>
      <c r="G19" s="26"/>
    </row>
    <row r="20" spans="1:7" x14ac:dyDescent="0.25">
      <c r="A20" s="16">
        <v>46249</v>
      </c>
      <c r="B20" s="17" t="s">
        <v>45</v>
      </c>
      <c r="C20" s="18"/>
      <c r="D20" s="19"/>
      <c r="E20" s="20">
        <f>IF(WEEKDAY(A20,2)&lt;=5,Übersicht!$B$4,0)</f>
        <v>0</v>
      </c>
      <c r="F20" s="20" t="str">
        <f t="shared" si="0"/>
        <v/>
      </c>
      <c r="G20" s="21"/>
    </row>
    <row r="21" spans="1:7" x14ac:dyDescent="0.25">
      <c r="A21" s="16">
        <v>46250</v>
      </c>
      <c r="B21" s="17" t="s">
        <v>46</v>
      </c>
      <c r="C21" s="18"/>
      <c r="D21" s="19"/>
      <c r="E21" s="20">
        <f>IF(WEEKDAY(A21,2)&lt;=5,Übersicht!$B$4,0)</f>
        <v>0</v>
      </c>
      <c r="F21" s="20" t="str">
        <f t="shared" si="0"/>
        <v/>
      </c>
      <c r="G21" s="21"/>
    </row>
    <row r="22" spans="1:7" x14ac:dyDescent="0.25">
      <c r="A22" s="22">
        <v>46251</v>
      </c>
      <c r="B22" s="23" t="s">
        <v>47</v>
      </c>
      <c r="C22" s="24" t="s">
        <v>87</v>
      </c>
      <c r="D22" s="25"/>
      <c r="E22" s="11">
        <f>IF(WEEKDAY(A22,2)&lt;=5,Übersicht!$B$4,0)</f>
        <v>8</v>
      </c>
      <c r="F22" s="11">
        <f t="shared" si="0"/>
        <v>0</v>
      </c>
      <c r="G22" s="26"/>
    </row>
    <row r="23" spans="1:7" x14ac:dyDescent="0.25">
      <c r="A23" s="22">
        <v>46252</v>
      </c>
      <c r="B23" s="23" t="s">
        <v>48</v>
      </c>
      <c r="C23" s="24" t="s">
        <v>87</v>
      </c>
      <c r="D23" s="25"/>
      <c r="E23" s="11">
        <f>IF(WEEKDAY(A23,2)&lt;=5,Übersicht!$B$4,0)</f>
        <v>8</v>
      </c>
      <c r="F23" s="11">
        <f t="shared" si="0"/>
        <v>0</v>
      </c>
      <c r="G23" s="26"/>
    </row>
    <row r="24" spans="1:7" x14ac:dyDescent="0.25">
      <c r="A24" s="22">
        <v>46253</v>
      </c>
      <c r="B24" s="23" t="s">
        <v>49</v>
      </c>
      <c r="C24" s="24" t="s">
        <v>85</v>
      </c>
      <c r="D24" s="25">
        <v>8</v>
      </c>
      <c r="E24" s="11">
        <f>IF(WEEKDAY(A24,2)&lt;=5,Übersicht!$B$4,0)</f>
        <v>8</v>
      </c>
      <c r="F24" s="11">
        <f t="shared" si="0"/>
        <v>0</v>
      </c>
      <c r="G24" s="26"/>
    </row>
    <row r="25" spans="1:7" x14ac:dyDescent="0.25">
      <c r="A25" s="22">
        <v>46254</v>
      </c>
      <c r="B25" s="23" t="s">
        <v>50</v>
      </c>
      <c r="C25" s="24" t="s">
        <v>85</v>
      </c>
      <c r="D25" s="25">
        <v>8</v>
      </c>
      <c r="E25" s="11">
        <f>IF(WEEKDAY(A25,2)&lt;=5,Übersicht!$B$4,0)</f>
        <v>8</v>
      </c>
      <c r="F25" s="11">
        <f t="shared" si="0"/>
        <v>0</v>
      </c>
      <c r="G25" s="26"/>
    </row>
    <row r="26" spans="1:7" x14ac:dyDescent="0.25">
      <c r="A26" s="22">
        <v>46255</v>
      </c>
      <c r="B26" s="23" t="s">
        <v>51</v>
      </c>
      <c r="C26" s="24" t="s">
        <v>85</v>
      </c>
      <c r="D26" s="25">
        <v>8</v>
      </c>
      <c r="E26" s="11">
        <f>IF(WEEKDAY(A26,2)&lt;=5,Übersicht!$B$4,0)</f>
        <v>8</v>
      </c>
      <c r="F26" s="11">
        <f t="shared" si="0"/>
        <v>0</v>
      </c>
      <c r="G26" s="26"/>
    </row>
    <row r="27" spans="1:7" x14ac:dyDescent="0.25">
      <c r="A27" s="16">
        <v>46256</v>
      </c>
      <c r="B27" s="17" t="s">
        <v>45</v>
      </c>
      <c r="C27" s="18"/>
      <c r="D27" s="19"/>
      <c r="E27" s="20">
        <f>IF(WEEKDAY(A27,2)&lt;=5,Übersicht!$B$4,0)</f>
        <v>0</v>
      </c>
      <c r="F27" s="20" t="str">
        <f t="shared" si="0"/>
        <v/>
      </c>
      <c r="G27" s="21"/>
    </row>
    <row r="28" spans="1:7" x14ac:dyDescent="0.25">
      <c r="A28" s="16">
        <v>46257</v>
      </c>
      <c r="B28" s="17" t="s">
        <v>46</v>
      </c>
      <c r="C28" s="18"/>
      <c r="D28" s="19"/>
      <c r="E28" s="20">
        <f>IF(WEEKDAY(A28,2)&lt;=5,Übersicht!$B$4,0)</f>
        <v>0</v>
      </c>
      <c r="F28" s="20" t="str">
        <f t="shared" si="0"/>
        <v/>
      </c>
      <c r="G28" s="21"/>
    </row>
    <row r="29" spans="1:7" x14ac:dyDescent="0.25">
      <c r="A29" s="22">
        <v>46258</v>
      </c>
      <c r="B29" s="23" t="s">
        <v>47</v>
      </c>
      <c r="C29" s="24" t="s">
        <v>85</v>
      </c>
      <c r="D29" s="25">
        <v>8</v>
      </c>
      <c r="E29" s="11">
        <f>IF(WEEKDAY(A29,2)&lt;=5,Übersicht!$B$4,0)</f>
        <v>8</v>
      </c>
      <c r="F29" s="11">
        <f t="shared" si="0"/>
        <v>0</v>
      </c>
      <c r="G29" s="26"/>
    </row>
    <row r="30" spans="1:7" x14ac:dyDescent="0.25">
      <c r="A30" s="22">
        <v>46259</v>
      </c>
      <c r="B30" s="23" t="s">
        <v>48</v>
      </c>
      <c r="C30" s="24" t="s">
        <v>85</v>
      </c>
      <c r="D30" s="25">
        <v>4</v>
      </c>
      <c r="E30" s="11">
        <f>IF(WEEKDAY(A30,2)&lt;=5,Übersicht!$B$4,0)</f>
        <v>8</v>
      </c>
      <c r="F30" s="11">
        <f t="shared" si="0"/>
        <v>-4</v>
      </c>
      <c r="G30" s="26"/>
    </row>
    <row r="31" spans="1:7" x14ac:dyDescent="0.25">
      <c r="A31" s="22">
        <v>46260</v>
      </c>
      <c r="B31" s="23" t="s">
        <v>49</v>
      </c>
      <c r="C31" s="24" t="s">
        <v>88</v>
      </c>
      <c r="D31" s="25"/>
      <c r="E31" s="11">
        <f>IF(WEEKDAY(A31,2)&lt;=5,Übersicht!$B$4,0)</f>
        <v>8</v>
      </c>
      <c r="F31" s="11" t="str">
        <f t="shared" si="0"/>
        <v/>
      </c>
      <c r="G31" s="26" t="s">
        <v>91</v>
      </c>
    </row>
    <row r="32" spans="1:7" x14ac:dyDescent="0.25">
      <c r="A32" s="22">
        <v>46261</v>
      </c>
      <c r="B32" s="23" t="s">
        <v>50</v>
      </c>
      <c r="C32" s="24" t="s">
        <v>88</v>
      </c>
      <c r="D32" s="25"/>
      <c r="E32" s="11">
        <f>IF(WEEKDAY(A32,2)&lt;=5,Übersicht!$B$4,0)</f>
        <v>8</v>
      </c>
      <c r="F32" s="11" t="str">
        <f t="shared" si="0"/>
        <v/>
      </c>
      <c r="G32" s="26" t="s">
        <v>91</v>
      </c>
    </row>
    <row r="33" spans="1:7" x14ac:dyDescent="0.25">
      <c r="A33" s="22">
        <v>46262</v>
      </c>
      <c r="B33" s="23" t="s">
        <v>51</v>
      </c>
      <c r="C33" s="24" t="s">
        <v>85</v>
      </c>
      <c r="D33" s="25">
        <v>8</v>
      </c>
      <c r="E33" s="11">
        <f>IF(WEEKDAY(A33,2)&lt;=5,Übersicht!$B$4,0)</f>
        <v>8</v>
      </c>
      <c r="F33" s="11">
        <f t="shared" si="0"/>
        <v>0</v>
      </c>
      <c r="G33" s="26"/>
    </row>
    <row r="34" spans="1:7" x14ac:dyDescent="0.25">
      <c r="A34" s="16">
        <v>46263</v>
      </c>
      <c r="B34" s="17" t="s">
        <v>45</v>
      </c>
      <c r="C34" s="18"/>
      <c r="D34" s="19"/>
      <c r="E34" s="20">
        <f>IF(WEEKDAY(A34,2)&lt;=5,Übersicht!$B$4,0)</f>
        <v>0</v>
      </c>
      <c r="F34" s="20" t="str">
        <f t="shared" si="0"/>
        <v/>
      </c>
      <c r="G34" s="21"/>
    </row>
    <row r="35" spans="1:7" x14ac:dyDescent="0.25">
      <c r="A35" s="16">
        <v>46264</v>
      </c>
      <c r="B35" s="17" t="s">
        <v>46</v>
      </c>
      <c r="C35" s="18"/>
      <c r="D35" s="19"/>
      <c r="E35" s="20">
        <f>IF(WEEKDAY(A35,2)&lt;=5,Übersicht!$B$4,0)</f>
        <v>0</v>
      </c>
      <c r="F35" s="20" t="str">
        <f t="shared" si="0"/>
        <v/>
      </c>
      <c r="G35" s="21"/>
    </row>
    <row r="36" spans="1:7" x14ac:dyDescent="0.25">
      <c r="A36" s="22">
        <v>46265</v>
      </c>
      <c r="B36" s="23" t="s">
        <v>47</v>
      </c>
      <c r="C36" s="24" t="s">
        <v>85</v>
      </c>
      <c r="D36" s="25">
        <v>8</v>
      </c>
      <c r="E36" s="11">
        <f>IF(WEEKDAY(A36,2)&lt;=5,Übersicht!$B$4,0)</f>
        <v>8</v>
      </c>
      <c r="F36" s="11">
        <f t="shared" si="0"/>
        <v>0</v>
      </c>
      <c r="G36" s="26"/>
    </row>
    <row r="38" spans="1:7" x14ac:dyDescent="0.25">
      <c r="A38" s="12" t="s">
        <v>52</v>
      </c>
      <c r="B38" s="27"/>
      <c r="C38" s="27"/>
      <c r="D38" s="13">
        <f>SUM(D6:D36)+SUMIF(C6:C36,"U",E6:E36)+SUMIF(C6:C36,"K",E6:E36)+SUMIF(C6:C36,"F",E6:E36)+SUMIF(C6:C36,"G",E6:E36)</f>
        <v>148</v>
      </c>
      <c r="E38" s="13">
        <f>SUM(E6:E36)</f>
        <v>168</v>
      </c>
      <c r="F38" s="13">
        <f>SUM(F6:F36)</f>
        <v>-4</v>
      </c>
      <c r="G38" s="27"/>
    </row>
    <row r="39" spans="1:7" x14ac:dyDescent="0.25">
      <c r="A39" s="6" t="s">
        <v>11</v>
      </c>
      <c r="B39" s="28">
        <f>COUNTIF(E6:E36,"&gt;0")</f>
        <v>21</v>
      </c>
    </row>
    <row r="40" spans="1:7" x14ac:dyDescent="0.25">
      <c r="A40" s="6" t="s">
        <v>16</v>
      </c>
      <c r="B40" s="28">
        <f>COUNTIF(C6:C36,"U")</f>
        <v>8</v>
      </c>
    </row>
    <row r="41" spans="1:7" x14ac:dyDescent="0.25">
      <c r="A41" s="6" t="s">
        <v>17</v>
      </c>
      <c r="B41" s="28">
        <f>COUNTIF(C6:C36,"K")</f>
        <v>0</v>
      </c>
    </row>
    <row r="42" spans="1:7" x14ac:dyDescent="0.25">
      <c r="A42" s="6" t="s">
        <v>53</v>
      </c>
      <c r="B42" s="29">
        <f>Übersicht!F34</f>
        <v>-160</v>
      </c>
    </row>
  </sheetData>
  <mergeCells count="1">
    <mergeCell ref="B2:D2"/>
  </mergeCells>
  <dataValidations count="1">
    <dataValidation type="list" allowBlank="1" sqref="C6:C36" xr:uid="{00000000-0002-0000-13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Übersicht</vt:lpstr>
      <vt:lpstr>Feb 2025</vt:lpstr>
      <vt:lpstr>Mär 2025</vt:lpstr>
      <vt:lpstr>Apr 2025</vt:lpstr>
      <vt:lpstr>Mai 2025</vt:lpstr>
      <vt:lpstr>Jun 2025</vt:lpstr>
      <vt:lpstr>Jul 2025</vt:lpstr>
      <vt:lpstr>Aug 2025</vt:lpstr>
      <vt:lpstr>Sep 2025</vt:lpstr>
      <vt:lpstr>Okt 2025</vt:lpstr>
      <vt:lpstr>Nov 2025</vt:lpstr>
      <vt:lpstr>Dez 2025</vt:lpstr>
      <vt:lpstr>Jan 2026</vt:lpstr>
      <vt:lpstr>Feb 2026</vt:lpstr>
      <vt:lpstr>Mär 2026</vt:lpstr>
      <vt:lpstr>Apr 2026</vt:lpstr>
      <vt:lpstr>Mai 2026</vt:lpstr>
      <vt:lpstr>Jun 2026</vt:lpstr>
      <vt:lpstr>Jul 2026</vt:lpstr>
      <vt:lpstr>Aug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Simon Blasen</cp:lastModifiedBy>
  <cp:revision>0</cp:revision>
  <dcterms:created xsi:type="dcterms:W3CDTF">2026-09-11T09:52:54Z</dcterms:created>
  <dcterms:modified xsi:type="dcterms:W3CDTF">2026-09-11T11:44:09Z</dcterms:modified>
  <dc:language>en-US</dc:language>
</cp:coreProperties>
</file>