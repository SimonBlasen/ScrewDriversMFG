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13_ncr:1_{06388D45-4123-4D3F-88C8-31EC18DB3C1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Quoten" sheetId="1" r:id="rId1"/>
    <sheet name="Einzelkostenliste" sheetId="2" r:id="rId2"/>
    <sheet name="Schlusskostenstand" sheetId="3" r:id="rId3"/>
    <sheet name="Schlussfinanzierun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4" l="1"/>
  <c r="B8" i="4"/>
  <c r="D6" i="4"/>
  <c r="C27" i="3"/>
  <c r="B27" i="3"/>
  <c r="E26" i="3"/>
  <c r="B23" i="3"/>
  <c r="B29" i="3" s="1"/>
  <c r="C22" i="3"/>
  <c r="D22" i="3" s="1"/>
  <c r="E22" i="3" s="1"/>
  <c r="F22" i="3" s="1"/>
  <c r="G8" i="3"/>
  <c r="G7" i="3"/>
  <c r="G6" i="3"/>
  <c r="I56" i="2"/>
  <c r="K54" i="2"/>
  <c r="L54" i="2" s="1"/>
  <c r="K53" i="2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L39" i="2"/>
  <c r="K39" i="2"/>
  <c r="J37" i="2"/>
  <c r="K37" i="2" s="1"/>
  <c r="L37" i="2" s="1"/>
  <c r="J36" i="2"/>
  <c r="K36" i="2" s="1"/>
  <c r="L36" i="2" s="1"/>
  <c r="J35" i="2"/>
  <c r="K35" i="2" s="1"/>
  <c r="K33" i="2"/>
  <c r="L33" i="2" s="1"/>
  <c r="K32" i="2"/>
  <c r="L32" i="2" s="1"/>
  <c r="K31" i="2"/>
  <c r="L31" i="2" s="1"/>
  <c r="K30" i="2"/>
  <c r="L30" i="2" s="1"/>
  <c r="J29" i="2"/>
  <c r="K29" i="2" s="1"/>
  <c r="L29" i="2" s="1"/>
  <c r="J28" i="2"/>
  <c r="K28" i="2" s="1"/>
  <c r="L28" i="2" s="1"/>
  <c r="J27" i="2"/>
  <c r="K27" i="2" s="1"/>
  <c r="L27" i="2" s="1"/>
  <c r="J26" i="2"/>
  <c r="K26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J10" i="2"/>
  <c r="K10" i="2" s="1"/>
  <c r="L10" i="2" s="1"/>
  <c r="J9" i="2"/>
  <c r="K9" i="2" s="1"/>
  <c r="L9" i="2" s="1"/>
  <c r="J8" i="2"/>
  <c r="K8" i="2" s="1"/>
  <c r="L8" i="2" s="1"/>
  <c r="J7" i="2"/>
  <c r="K7" i="2" s="1"/>
  <c r="L7" i="2" s="1"/>
  <c r="J6" i="2"/>
  <c r="K6" i="2" s="1"/>
  <c r="L35" i="2" l="1"/>
  <c r="B13" i="3"/>
  <c r="L26" i="2"/>
  <c r="B12" i="3"/>
  <c r="L6" i="2"/>
  <c r="K56" i="2"/>
  <c r="B11" i="3"/>
  <c r="L56" i="2" l="1"/>
  <c r="C19" i="3"/>
  <c r="D19" i="3" s="1"/>
  <c r="E19" i="3" s="1"/>
  <c r="F19" i="3" s="1"/>
  <c r="C18" i="3"/>
  <c r="D18" i="3" s="1"/>
  <c r="E18" i="3" s="1"/>
  <c r="F18" i="3" s="1"/>
  <c r="C21" i="3"/>
  <c r="D21" i="3" s="1"/>
  <c r="E21" i="3" s="1"/>
  <c r="F21" i="3" s="1"/>
  <c r="C17" i="3"/>
  <c r="C20" i="3"/>
  <c r="D20" i="3" s="1"/>
  <c r="E20" i="3" s="1"/>
  <c r="F20" i="3" s="1"/>
  <c r="D17" i="3" l="1"/>
  <c r="C23" i="3"/>
  <c r="C29" i="3" s="1"/>
  <c r="E17" i="3" l="1"/>
  <c r="D23" i="3"/>
  <c r="E23" i="3" l="1"/>
  <c r="F17" i="3"/>
  <c r="D25" i="3"/>
  <c r="D31" i="3" s="1"/>
  <c r="E31" i="3" s="1"/>
  <c r="F23" i="3" l="1"/>
  <c r="E25" i="3"/>
  <c r="E27" i="3" s="1"/>
  <c r="E29" i="3" s="1"/>
  <c r="F29" i="3" s="1"/>
  <c r="D27" i="3"/>
  <c r="D29" i="3" s="1"/>
  <c r="C5" i="4" l="1"/>
  <c r="D5" i="4" l="1"/>
  <c r="B16" i="4"/>
  <c r="C7" i="4"/>
  <c r="D7" i="4" l="1"/>
  <c r="D8" i="4" s="1"/>
  <c r="C8" i="4"/>
  <c r="C9" i="4" s="1"/>
</calcChain>
</file>

<file path=xl/sharedStrings.xml><?xml version="1.0" encoding="utf-8"?>
<sst xmlns="http://schemas.openxmlformats.org/spreadsheetml/2006/main" count="472" uniqueCount="226">
  <si>
    <t>Projektquoten Personal – Screw Drivers (G-18/25-1-P)</t>
  </si>
  <si>
    <t>Gelbe Zellen sind Eingabefelder. Die Quote gibt an, welcher Anteil der Personalkosten des Monats der geförderten Maßnahme zuzurechnen ist.</t>
  </si>
  <si>
    <t>Bezahlter Urlaub läuft anteilig mit und wird nicht gesondert herausgerechnet. Die Quoten müssen den tatsächlichen Projektbezug abbilden – sie sind subventionserheblich (§ 264 StGB).</t>
  </si>
  <si>
    <t>Monat</t>
  </si>
  <si>
    <t>Simon Blasen</t>
  </si>
  <si>
    <t>Marc Bendt</t>
  </si>
  <si>
    <t>F. D. Agustina</t>
  </si>
  <si>
    <t>Begründung / Beleg</t>
  </si>
  <si>
    <t>2025-02</t>
  </si>
  <si>
    <t>Vollzeit Screw Drivers</t>
  </si>
  <si>
    <t>2025-03</t>
  </si>
  <si>
    <t>2025-04</t>
  </si>
  <si>
    <t>Vollzeit; Repo-Start 04/2025</t>
  </si>
  <si>
    <t>2025-05</t>
  </si>
  <si>
    <t>Gehalt SB reduziert; MB Austritt 31.05.</t>
  </si>
  <si>
    <t>2025-06</t>
  </si>
  <si>
    <t>Gehalt SB 500 EUR</t>
  </si>
  <si>
    <t>2025-07</t>
  </si>
  <si>
    <t>2025-08</t>
  </si>
  <si>
    <t>2025-09</t>
  </si>
  <si>
    <t>Gehalt SB 500 EUR; 1. Rate 23.09.</t>
  </si>
  <si>
    <t>2025-10</t>
  </si>
  <si>
    <t>50 % SIMO; MB Wiedereintritt 01.10.</t>
  </si>
  <si>
    <t>2025-11</t>
  </si>
  <si>
    <t>50 % SIMO</t>
  </si>
  <si>
    <t>2025-12</t>
  </si>
  <si>
    <t>2026-01</t>
  </si>
  <si>
    <t>80 % SIMO; MB Austritt 31.01.</t>
  </si>
  <si>
    <t>2026-02</t>
  </si>
  <si>
    <t>80 % SIMO</t>
  </si>
  <si>
    <t>2026-03</t>
  </si>
  <si>
    <t>5 % weltenbauer (Kleinaufgaben)</t>
  </si>
  <si>
    <t>2026-04</t>
  </si>
  <si>
    <t>2026-05</t>
  </si>
  <si>
    <t>5 % weltenbauer</t>
  </si>
  <si>
    <t>2026-06</t>
  </si>
  <si>
    <t>Release-Vorbereitung</t>
  </si>
  <si>
    <t>2026-07</t>
  </si>
  <si>
    <t>2026-08</t>
  </si>
  <si>
    <t>Release 20.08.2026</t>
  </si>
  <si>
    <t>Einzelkostenliste – Screw Drivers, Projekt-Nr. G-18/25-1-P</t>
  </si>
  <si>
    <t>Creactstudios UG (haftungsbeschränkt) · Alle Beträge netto (vorsteuerabzugsberechtigt)</t>
  </si>
  <si>
    <t>Lfd.</t>
  </si>
  <si>
    <t>Kostenposition</t>
  </si>
  <si>
    <t>Empfänger</t>
  </si>
  <si>
    <t>Belegart</t>
  </si>
  <si>
    <t>Beleg-Nr.</t>
  </si>
  <si>
    <t>Belegdatum</t>
  </si>
  <si>
    <t>Leistungszeitraum</t>
  </si>
  <si>
    <t>Zahlungsdatum</t>
  </si>
  <si>
    <t>Betrag netto</t>
  </si>
  <si>
    <t>Quote</t>
  </si>
  <si>
    <t>anrechenbar</t>
  </si>
  <si>
    <t>BW</t>
  </si>
  <si>
    <t>Bemerkung</t>
  </si>
  <si>
    <t>A – PERSONALKOSTEN SIMON BLASEN (Geschäftsführer, sozialversicherungsfrei)</t>
  </si>
  <si>
    <t>Programmierung / Projektmanagement</t>
  </si>
  <si>
    <t>Gehaltsabrechnung</t>
  </si>
  <si>
    <t>LOGN 2025-02</t>
  </si>
  <si>
    <t>2025-02-Abrechnung</t>
  </si>
  <si>
    <t>20.02.2025</t>
  </si>
  <si>
    <t>Brutto = Gesamtaufwand (SV-frei)</t>
  </si>
  <si>
    <t>LOGN 2025-03</t>
  </si>
  <si>
    <t>2025-03-Abrechnung</t>
  </si>
  <si>
    <t>20.03.2025</t>
  </si>
  <si>
    <t>LOGN 2025-04</t>
  </si>
  <si>
    <t>2025-04-Abrechnung</t>
  </si>
  <si>
    <t>17.04.2025</t>
  </si>
  <si>
    <t>LOGN 2025-05</t>
  </si>
  <si>
    <t>2025-05-Abrechnung</t>
  </si>
  <si>
    <t>21.05.2025</t>
  </si>
  <si>
    <t>LOGN 2025-06</t>
  </si>
  <si>
    <t>2025-06-Abrechnung</t>
  </si>
  <si>
    <t>24.06.2025</t>
  </si>
  <si>
    <t>LOGN 2025-07</t>
  </si>
  <si>
    <t>2025-07-Abrechnung</t>
  </si>
  <si>
    <t>16.07.2025</t>
  </si>
  <si>
    <t>LOGN 2025-08</t>
  </si>
  <si>
    <t>2025-08-Abrechnung</t>
  </si>
  <si>
    <t>03.09.2025</t>
  </si>
  <si>
    <t>LOGN 2025-09</t>
  </si>
  <si>
    <t>2025-09-Abrechnung</t>
  </si>
  <si>
    <t>20.10.2025</t>
  </si>
  <si>
    <t>LOGN 2025-10</t>
  </si>
  <si>
    <t>2025-10-Abrechnung</t>
  </si>
  <si>
    <t>LOGN 2025-11</t>
  </si>
  <si>
    <t>2025-11-Abrechnung</t>
  </si>
  <si>
    <t>20.11.2025</t>
  </si>
  <si>
    <t>LOGN 2025-12</t>
  </si>
  <si>
    <t>2025-12-Abrechnung</t>
  </si>
  <si>
    <t>16.12.2025</t>
  </si>
  <si>
    <t>LOGN 2026-01</t>
  </si>
  <si>
    <t>2026-01-Abrechnung</t>
  </si>
  <si>
    <t>20.01.2026</t>
  </si>
  <si>
    <t>LOGN 2026-02</t>
  </si>
  <si>
    <t>2026-02-Abrechnung</t>
  </si>
  <si>
    <t>19.02.2026</t>
  </si>
  <si>
    <t>LOGN 2026-03</t>
  </si>
  <si>
    <t>2026-03-Abrechnung</t>
  </si>
  <si>
    <t>23.03.2026</t>
  </si>
  <si>
    <t>LOGN 2026-04</t>
  </si>
  <si>
    <t>2026-04-Abrechnung</t>
  </si>
  <si>
    <t>20.04.2026</t>
  </si>
  <si>
    <t>LOGN 2026-05</t>
  </si>
  <si>
    <t>2026-05-Abrechnung</t>
  </si>
  <si>
    <t>23.05.2026</t>
  </si>
  <si>
    <t>LOGN 2026-06</t>
  </si>
  <si>
    <t>2026-06-Abrechnung</t>
  </si>
  <si>
    <t>19.06.2026</t>
  </si>
  <si>
    <t>LOGN 2026-07</t>
  </si>
  <si>
    <t>2026-07-Abrechnung</t>
  </si>
  <si>
    <t>30.07.2026</t>
  </si>
  <si>
    <t>LOGN 2026-08</t>
  </si>
  <si>
    <t>2026-08-Abrechnung</t>
  </si>
  <si>
    <t>21.08.2026</t>
  </si>
  <si>
    <t>B – PERSONALKOSTEN MARC BENDT (Angestellter)</t>
  </si>
  <si>
    <t>Art / Animation / Audio / Design</t>
  </si>
  <si>
    <t>Brutto 3.504,00 + SV-AG 727.83 + Zus. AG 77.00</t>
  </si>
  <si>
    <t>Brutto 3.504,00 + SV-AG 734.83 + Zus. AG 66.50</t>
  </si>
  <si>
    <t>C – PERSONALKOSTEN FRANSISKA DAMARA AGUSTINA  (nur ansetzen nach Anzeige gem. AGB C.1)</t>
  </si>
  <si>
    <t>—</t>
  </si>
  <si>
    <t>Gesamtaufwand aus Lohnjournal eintragen</t>
  </si>
  <si>
    <t>D – OUTSOURCING ART / ANIMATION (Lucas Mößner / Skybound 3D, Mannheim – Kleinunternehmer § 19 UStG)</t>
  </si>
  <si>
    <t>Outsourcing Art / Animation</t>
  </si>
  <si>
    <t>Lucas Mößner (Skybound 3D)</t>
  </si>
  <si>
    <t>Rechnung</t>
  </si>
  <si>
    <t>SB000003</t>
  </si>
  <si>
    <t>28.01.2025</t>
  </si>
  <si>
    <t>01/2025</t>
  </si>
  <si>
    <t>Vorentwicklung – vor Maßnahmebeginn, nicht ansetzbar</t>
  </si>
  <si>
    <t>SB000004</t>
  </si>
  <si>
    <t>04.03.2025</t>
  </si>
  <si>
    <t>02/2025</t>
  </si>
  <si>
    <t>SB000005</t>
  </si>
  <si>
    <t>01.04.2025</t>
  </si>
  <si>
    <t>03/2025</t>
  </si>
  <si>
    <t>SB000006</t>
  </si>
  <si>
    <t>05.05.2025</t>
  </si>
  <si>
    <t>04/2025</t>
  </si>
  <si>
    <t>SB000007</t>
  </si>
  <si>
    <t>06.06.2025</t>
  </si>
  <si>
    <t>05/2025</t>
  </si>
  <si>
    <t>SB000008</t>
  </si>
  <si>
    <t>01.07.2025</t>
  </si>
  <si>
    <t>06/2025</t>
  </si>
  <si>
    <t>SB000009</t>
  </si>
  <si>
    <t>28.07.2025</t>
  </si>
  <si>
    <t>07/2025</t>
  </si>
  <si>
    <t>SB000010</t>
  </si>
  <si>
    <t>27.08.2025</t>
  </si>
  <si>
    <t>08/2025</t>
  </si>
  <si>
    <t>SB000011</t>
  </si>
  <si>
    <t>29.09.2025</t>
  </si>
  <si>
    <t>09/2025</t>
  </si>
  <si>
    <t>SB000012</t>
  </si>
  <si>
    <t>25.10.2025</t>
  </si>
  <si>
    <t>10/2025</t>
  </si>
  <si>
    <t>SB000013</t>
  </si>
  <si>
    <t>01.12.2025</t>
  </si>
  <si>
    <t>11/2025</t>
  </si>
  <si>
    <t>SB000014</t>
  </si>
  <si>
    <t>23.12.2025</t>
  </si>
  <si>
    <t>12/2025</t>
  </si>
  <si>
    <t>SB000015</t>
  </si>
  <si>
    <t>E – NEBENKOSTEN</t>
  </si>
  <si>
    <t>Prüfgebühr</t>
  </si>
  <si>
    <t>PricewaterhouseCoopers GmbH</t>
  </si>
  <si>
    <t>Auszahlungsavis</t>
  </si>
  <si>
    <t>PwC 09/2025</t>
  </si>
  <si>
    <t>23.09.2025</t>
  </si>
  <si>
    <t>Prüfung VN</t>
  </si>
  <si>
    <t>23.09.2025 (einbehalten)</t>
  </si>
  <si>
    <t>Von 1. Rate einbehalten; kein BW-Effekt</t>
  </si>
  <si>
    <t>Handlungskosten</t>
  </si>
  <si>
    <t>Creactstudios UG</t>
  </si>
  <si>
    <t>Pauschale lt. Vertrag Ziff. 1</t>
  </si>
  <si>
    <t>Projektlaufzeit</t>
  </si>
  <si>
    <t>Pauschal, 3,4 % der Fertigungskosten (max. 7,5 %)</t>
  </si>
  <si>
    <t>SUMME EINZELKOSTENLISTE</t>
  </si>
  <si>
    <t>Schlusskostenstand – Screw Drivers, G-18/25-1-P</t>
  </si>
  <si>
    <t>Gliederung nach der genehmigten Vorkalkulation (Vertrag Ziff. 1)</t>
  </si>
  <si>
    <t>Funktionale Aufteilung der Personalkosten (gelb = Eingabe, Summe je Person muss 100 % ergeben)</t>
  </si>
  <si>
    <t>Programmierung</t>
  </si>
  <si>
    <t>Projektmanagement</t>
  </si>
  <si>
    <t>Art / Animation</t>
  </si>
  <si>
    <t>Audio</t>
  </si>
  <si>
    <t>Design</t>
  </si>
  <si>
    <t>Summe</t>
  </si>
  <si>
    <t>Anrechenbare Personalkosten je Person (aus Einzelkostenliste)</t>
  </si>
  <si>
    <t>Soll (Vertrag)</t>
  </si>
  <si>
    <t>Ist</t>
  </si>
  <si>
    <t>anerkennbar</t>
  </si>
  <si>
    <t>Abweichung</t>
  </si>
  <si>
    <t>in %</t>
  </si>
  <si>
    <t>(Freie) Mitarbeiter – Programmierung</t>
  </si>
  <si>
    <t>(Freie) Mitarbeiter – Art / Animation</t>
  </si>
  <si>
    <t>(Freie) Mitarbeiter – Audio</t>
  </si>
  <si>
    <t>(Freie) Mitarbeiter – Design</t>
  </si>
  <si>
    <t>(Freie) Mitarbeiter – Projektmanagement</t>
  </si>
  <si>
    <t>Outsourcing – Art / Animation</t>
  </si>
  <si>
    <t>Fertigungskosten gesamt</t>
  </si>
  <si>
    <t>Handlungskosten (Pauschale lt. Vertrag)</t>
  </si>
  <si>
    <t>Prüfgebühr PwC</t>
  </si>
  <si>
    <t>Nebenkosten gesamt</t>
  </si>
  <si>
    <t>GESAMTHERSTELLUNGSKOSTEN</t>
  </si>
  <si>
    <t>Baden-Württemberg-Effekt (ohne Prüfgebühr)</t>
  </si>
  <si>
    <t>Mindestbetrag lt. Vertrag Ziff. 3 f). Unterschreitung berechtigt zur Kürzung (AGB Ziff. 9 Abs. 3).</t>
  </si>
  <si>
    <t>Schlussfinanzierung – Screw Drivers, G-18/25-1-P</t>
  </si>
  <si>
    <t>Finanzierungsbaustein</t>
  </si>
  <si>
    <t>Plan lt. Vertrag</t>
  </si>
  <si>
    <t>MFG Darlehen (Games BW, bedingt rückzahlbar)</t>
  </si>
  <si>
    <t>50 % der anerkannten Kosten</t>
  </si>
  <si>
    <t>Darlehen Headup GmbH</t>
  </si>
  <si>
    <t>4 Zahlungen à 13.666,66 netto (SD030837–SD030840)</t>
  </si>
  <si>
    <t>Eigenmittel / Barmittel</t>
  </si>
  <si>
    <t>Restfinanzierung durch Eigenmittel</t>
  </si>
  <si>
    <t>Finanzierungsmittel insgesamt</t>
  </si>
  <si>
    <t>Kontrolle: Finanzierung ./. Gesamtkosten</t>
  </si>
  <si>
    <t>muss 0,00 ergeben</t>
  </si>
  <si>
    <t>Abrufstand MFG-Darlehen</t>
  </si>
  <si>
    <t>1. Rate (50 %), bewilligt 23.09.2025</t>
  </si>
  <si>
    <t>abzgl. Prüfgebühr 2.418,38 brutto einbehalten → 31.452,46 ausgezahlt</t>
  </si>
  <si>
    <t>2. Rate (40 %), bewilligt 26.11.2025</t>
  </si>
  <si>
    <t>bereits abgerufen</t>
  </si>
  <si>
    <t>SCHLUSSRATE (Abrufformular)</t>
  </si>
  <si>
    <t>Negativer Betrag = Rückforderung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</si>
</sst>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9" fontId="5" fillId="3" borderId="1" xfId="0" applyNumberFormat="1" applyFont="1" applyFill="1" applyBorder="1"/>
    <xf numFmtId="0" fontId="3" fillId="2" borderId="1" xfId="0" applyFont="1" applyFill="1" applyBorder="1" applyAlignment="1">
      <alignment vertical="center" wrapText="1"/>
    </xf>
    <xf numFmtId="0" fontId="6" fillId="4" borderId="1" xfId="0" applyFont="1" applyFill="1" applyBorder="1"/>
    <xf numFmtId="0" fontId="0" fillId="4" borderId="1" xfId="0" applyFill="1" applyBorder="1"/>
    <xf numFmtId="0" fontId="4" fillId="0" borderId="1" xfId="0" applyFont="1" applyBorder="1"/>
    <xf numFmtId="4" fontId="4" fillId="0" borderId="1" xfId="0" applyNumberFormat="1" applyFont="1" applyBorder="1"/>
    <xf numFmtId="9" fontId="4" fillId="0" borderId="1" xfId="0" applyNumberFormat="1" applyFont="1" applyBorder="1"/>
    <xf numFmtId="4" fontId="6" fillId="4" borderId="1" xfId="0" applyNumberFormat="1" applyFont="1" applyFill="1" applyBorder="1"/>
    <xf numFmtId="0" fontId="6" fillId="0" borderId="0" xfId="0" applyFont="1"/>
    <xf numFmtId="0" fontId="3" fillId="2" borderId="1" xfId="0" applyFont="1" applyFill="1" applyBorder="1" applyAlignment="1">
      <alignment horizontal="center" wrapText="1"/>
    </xf>
    <xf numFmtId="9" fontId="6" fillId="0" borderId="1" xfId="0" applyNumberFormat="1" applyFont="1" applyBorder="1"/>
    <xf numFmtId="164" fontId="4" fillId="0" borderId="1" xfId="0" applyNumberFormat="1" applyFont="1" applyBorder="1"/>
    <xf numFmtId="164" fontId="6" fillId="4" borderId="1" xfId="0" applyNumberFormat="1" applyFont="1" applyFill="1" applyBorder="1"/>
    <xf numFmtId="4" fontId="6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zoomScaleNormal="100" workbookViewId="0"/>
  </sheetViews>
  <sheetFormatPr baseColWidth="10" defaultColWidth="8.7109375" defaultRowHeight="15" x14ac:dyDescent="0.25"/>
  <cols>
    <col min="1" max="1" width="12" customWidth="1"/>
    <col min="2" max="3" width="14" customWidth="1"/>
    <col min="4" max="4" width="16" customWidth="1"/>
    <col min="5" max="5" width="46" customWidth="1"/>
  </cols>
  <sheetData>
    <row r="1" spans="1:5" ht="16.5" x14ac:dyDescent="0.25">
      <c r="A1" s="1" t="s">
        <v>0</v>
      </c>
    </row>
    <row r="3" spans="1:5" x14ac:dyDescent="0.25">
      <c r="A3" s="2" t="s">
        <v>1</v>
      </c>
    </row>
    <row r="4" spans="1:5" x14ac:dyDescent="0.25">
      <c r="A4" s="2" t="s">
        <v>2</v>
      </c>
    </row>
    <row r="6" spans="1:5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</row>
    <row r="8" spans="1:5" x14ac:dyDescent="0.25">
      <c r="A8" s="4" t="s">
        <v>8</v>
      </c>
      <c r="B8" s="5">
        <v>1</v>
      </c>
      <c r="C8" s="5">
        <v>1</v>
      </c>
      <c r="D8" s="5"/>
      <c r="E8" s="2" t="s">
        <v>9</v>
      </c>
    </row>
    <row r="9" spans="1:5" x14ac:dyDescent="0.25">
      <c r="A9" s="4" t="s">
        <v>10</v>
      </c>
      <c r="B9" s="5">
        <v>1</v>
      </c>
      <c r="C9" s="5">
        <v>1</v>
      </c>
      <c r="D9" s="5"/>
      <c r="E9" s="2" t="s">
        <v>9</v>
      </c>
    </row>
    <row r="10" spans="1:5" x14ac:dyDescent="0.25">
      <c r="A10" s="4" t="s">
        <v>11</v>
      </c>
      <c r="B10" s="5">
        <v>1</v>
      </c>
      <c r="C10" s="5">
        <v>1</v>
      </c>
      <c r="D10" s="5"/>
      <c r="E10" s="2" t="s">
        <v>12</v>
      </c>
    </row>
    <row r="11" spans="1:5" x14ac:dyDescent="0.25">
      <c r="A11" s="4" t="s">
        <v>13</v>
      </c>
      <c r="B11" s="5">
        <v>1</v>
      </c>
      <c r="C11" s="5">
        <v>1</v>
      </c>
      <c r="D11" s="5"/>
      <c r="E11" s="2" t="s">
        <v>14</v>
      </c>
    </row>
    <row r="12" spans="1:5" x14ac:dyDescent="0.25">
      <c r="A12" s="4" t="s">
        <v>15</v>
      </c>
      <c r="B12" s="5">
        <v>1</v>
      </c>
      <c r="C12" s="5"/>
      <c r="D12" s="5"/>
      <c r="E12" s="2" t="s">
        <v>16</v>
      </c>
    </row>
    <row r="13" spans="1:5" x14ac:dyDescent="0.25">
      <c r="A13" s="4" t="s">
        <v>17</v>
      </c>
      <c r="B13" s="5">
        <v>1</v>
      </c>
      <c r="C13" s="5"/>
      <c r="D13" s="5"/>
      <c r="E13" s="2" t="s">
        <v>16</v>
      </c>
    </row>
    <row r="14" spans="1:5" x14ac:dyDescent="0.25">
      <c r="A14" s="4" t="s">
        <v>18</v>
      </c>
      <c r="B14" s="5">
        <v>1</v>
      </c>
      <c r="C14" s="5"/>
      <c r="D14" s="5"/>
      <c r="E14" s="2" t="s">
        <v>16</v>
      </c>
    </row>
    <row r="15" spans="1:5" x14ac:dyDescent="0.25">
      <c r="A15" s="4" t="s">
        <v>19</v>
      </c>
      <c r="B15" s="5">
        <v>1</v>
      </c>
      <c r="C15" s="5"/>
      <c r="D15" s="5"/>
      <c r="E15" s="2" t="s">
        <v>20</v>
      </c>
    </row>
    <row r="16" spans="1:5" x14ac:dyDescent="0.25">
      <c r="A16" s="4" t="s">
        <v>21</v>
      </c>
      <c r="B16" s="5">
        <v>0.5</v>
      </c>
      <c r="C16" s="5">
        <v>1</v>
      </c>
      <c r="D16" s="5"/>
      <c r="E16" s="2" t="s">
        <v>22</v>
      </c>
    </row>
    <row r="17" spans="1:5" x14ac:dyDescent="0.25">
      <c r="A17" s="4" t="s">
        <v>23</v>
      </c>
      <c r="B17" s="5">
        <v>0.5</v>
      </c>
      <c r="C17" s="5">
        <v>1</v>
      </c>
      <c r="D17" s="5"/>
      <c r="E17" s="2" t="s">
        <v>24</v>
      </c>
    </row>
    <row r="18" spans="1:5" x14ac:dyDescent="0.25">
      <c r="A18" s="4" t="s">
        <v>25</v>
      </c>
      <c r="B18" s="5">
        <v>0.5</v>
      </c>
      <c r="C18" s="5">
        <v>1</v>
      </c>
      <c r="D18" s="5"/>
      <c r="E18" s="2" t="s">
        <v>24</v>
      </c>
    </row>
    <row r="19" spans="1:5" x14ac:dyDescent="0.25">
      <c r="A19" s="4" t="s">
        <v>26</v>
      </c>
      <c r="B19" s="5">
        <v>0.2</v>
      </c>
      <c r="C19" s="5">
        <v>1</v>
      </c>
      <c r="D19" s="5"/>
      <c r="E19" s="2" t="s">
        <v>27</v>
      </c>
    </row>
    <row r="20" spans="1:5" x14ac:dyDescent="0.25">
      <c r="A20" s="4" t="s">
        <v>28</v>
      </c>
      <c r="B20" s="5">
        <v>0.2</v>
      </c>
      <c r="C20" s="5"/>
      <c r="D20" s="5"/>
      <c r="E20" s="2" t="s">
        <v>29</v>
      </c>
    </row>
    <row r="21" spans="1:5" x14ac:dyDescent="0.25">
      <c r="A21" s="4" t="s">
        <v>30</v>
      </c>
      <c r="B21" s="5">
        <v>0.95</v>
      </c>
      <c r="C21" s="5"/>
      <c r="D21" s="5"/>
      <c r="E21" s="2" t="s">
        <v>31</v>
      </c>
    </row>
    <row r="22" spans="1:5" x14ac:dyDescent="0.25">
      <c r="A22" s="4" t="s">
        <v>32</v>
      </c>
      <c r="B22" s="5">
        <v>0.95</v>
      </c>
      <c r="C22" s="5"/>
      <c r="D22" s="5"/>
      <c r="E22" s="2" t="s">
        <v>31</v>
      </c>
    </row>
    <row r="23" spans="1:5" x14ac:dyDescent="0.25">
      <c r="A23" s="4" t="s">
        <v>33</v>
      </c>
      <c r="B23" s="5">
        <v>0.95</v>
      </c>
      <c r="C23" s="5"/>
      <c r="D23" s="5"/>
      <c r="E23" s="2" t="s">
        <v>34</v>
      </c>
    </row>
    <row r="24" spans="1:5" x14ac:dyDescent="0.25">
      <c r="A24" s="4" t="s">
        <v>35</v>
      </c>
      <c r="B24" s="5">
        <v>0.95</v>
      </c>
      <c r="C24" s="5"/>
      <c r="D24" s="5">
        <v>1</v>
      </c>
      <c r="E24" s="2" t="s">
        <v>36</v>
      </c>
    </row>
    <row r="25" spans="1:5" x14ac:dyDescent="0.25">
      <c r="A25" s="4" t="s">
        <v>37</v>
      </c>
      <c r="B25" s="5">
        <v>0.95</v>
      </c>
      <c r="C25" s="5"/>
      <c r="D25" s="5">
        <v>1</v>
      </c>
      <c r="E25" s="2" t="s">
        <v>36</v>
      </c>
    </row>
    <row r="26" spans="1:5" x14ac:dyDescent="0.25">
      <c r="A26" s="4" t="s">
        <v>38</v>
      </c>
      <c r="B26" s="5">
        <v>0.95</v>
      </c>
      <c r="C26" s="5"/>
      <c r="D26" s="5">
        <v>1</v>
      </c>
      <c r="E26" s="2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tabSelected="1" zoomScaleNormal="100" workbookViewId="0">
      <pane ySplit="4" topLeftCell="A31" activePane="bottomLeft" state="frozen"/>
      <selection pane="bottomLeft" activeCell="J13" sqref="J13"/>
    </sheetView>
  </sheetViews>
  <sheetFormatPr baseColWidth="10" defaultColWidth="8.7109375" defaultRowHeight="15" x14ac:dyDescent="0.25"/>
  <cols>
    <col min="1" max="1" width="6" customWidth="1"/>
    <col min="2" max="2" width="34" customWidth="1"/>
    <col min="3" max="3" width="26" customWidth="1"/>
    <col min="4" max="4" width="22" customWidth="1"/>
    <col min="5" max="6" width="14" customWidth="1"/>
    <col min="7" max="7" width="16" customWidth="1"/>
    <col min="8" max="8" width="20" customWidth="1"/>
    <col min="9" max="9" width="14" customWidth="1"/>
    <col min="10" max="10" width="8" customWidth="1"/>
    <col min="11" max="12" width="14" customWidth="1"/>
    <col min="13" max="13" width="46" customWidth="1"/>
  </cols>
  <sheetData>
    <row r="1" spans="1:13" ht="16.5" x14ac:dyDescent="0.25">
      <c r="A1" s="1" t="s">
        <v>40</v>
      </c>
    </row>
    <row r="2" spans="1:13" x14ac:dyDescent="0.25">
      <c r="A2" s="2" t="s">
        <v>41</v>
      </c>
    </row>
    <row r="4" spans="1:13" ht="25.5" x14ac:dyDescent="0.25">
      <c r="A4" s="6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6" t="s">
        <v>52</v>
      </c>
      <c r="L4" s="6" t="s">
        <v>53</v>
      </c>
      <c r="M4" s="6" t="s">
        <v>54</v>
      </c>
    </row>
    <row r="5" spans="1:13" x14ac:dyDescent="0.25">
      <c r="A5" s="7" t="s">
        <v>55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5">
      <c r="A6" s="9">
        <v>1</v>
      </c>
      <c r="B6" s="9" t="s">
        <v>56</v>
      </c>
      <c r="C6" s="9" t="s">
        <v>4</v>
      </c>
      <c r="D6" s="9" t="s">
        <v>57</v>
      </c>
      <c r="E6" s="9" t="s">
        <v>58</v>
      </c>
      <c r="F6" s="9" t="s">
        <v>59</v>
      </c>
      <c r="G6" s="9" t="s">
        <v>8</v>
      </c>
      <c r="H6" s="9" t="s">
        <v>60</v>
      </c>
      <c r="I6" s="10">
        <v>6000</v>
      </c>
      <c r="J6" s="11">
        <f>Quoten!B8</f>
        <v>1</v>
      </c>
      <c r="K6" s="10">
        <f t="shared" ref="K6:K24" si="0">I6*J6</f>
        <v>6000</v>
      </c>
      <c r="L6" s="10">
        <f t="shared" ref="L6:L24" si="1">K6</f>
        <v>6000</v>
      </c>
      <c r="M6" s="2" t="s">
        <v>61</v>
      </c>
    </row>
    <row r="7" spans="1:13" x14ac:dyDescent="0.25">
      <c r="A7" s="9">
        <v>2</v>
      </c>
      <c r="B7" s="9" t="s">
        <v>56</v>
      </c>
      <c r="C7" s="9" t="s">
        <v>4</v>
      </c>
      <c r="D7" s="9" t="s">
        <v>57</v>
      </c>
      <c r="E7" s="9" t="s">
        <v>62</v>
      </c>
      <c r="F7" s="9" t="s">
        <v>63</v>
      </c>
      <c r="G7" s="9" t="s">
        <v>10</v>
      </c>
      <c r="H7" s="9" t="s">
        <v>64</v>
      </c>
      <c r="I7" s="10">
        <v>6000</v>
      </c>
      <c r="J7" s="11">
        <f>Quoten!B9</f>
        <v>1</v>
      </c>
      <c r="K7" s="10">
        <f t="shared" si="0"/>
        <v>6000</v>
      </c>
      <c r="L7" s="10">
        <f t="shared" si="1"/>
        <v>6000</v>
      </c>
      <c r="M7" s="2" t="s">
        <v>61</v>
      </c>
    </row>
    <row r="8" spans="1:13" x14ac:dyDescent="0.25">
      <c r="A8" s="9">
        <v>3</v>
      </c>
      <c r="B8" s="9" t="s">
        <v>56</v>
      </c>
      <c r="C8" s="9" t="s">
        <v>4</v>
      </c>
      <c r="D8" s="9" t="s">
        <v>57</v>
      </c>
      <c r="E8" s="9" t="s">
        <v>65</v>
      </c>
      <c r="F8" s="9" t="s">
        <v>66</v>
      </c>
      <c r="G8" s="9" t="s">
        <v>11</v>
      </c>
      <c r="H8" s="9" t="s">
        <v>67</v>
      </c>
      <c r="I8" s="10">
        <v>6000</v>
      </c>
      <c r="J8" s="11">
        <f>Quoten!B10</f>
        <v>1</v>
      </c>
      <c r="K8" s="10">
        <f t="shared" si="0"/>
        <v>6000</v>
      </c>
      <c r="L8" s="10">
        <f t="shared" si="1"/>
        <v>6000</v>
      </c>
      <c r="M8" s="2" t="s">
        <v>61</v>
      </c>
    </row>
    <row r="9" spans="1:13" x14ac:dyDescent="0.25">
      <c r="A9" s="9">
        <v>4</v>
      </c>
      <c r="B9" s="9" t="s">
        <v>56</v>
      </c>
      <c r="C9" s="9" t="s">
        <v>4</v>
      </c>
      <c r="D9" s="9" t="s">
        <v>57</v>
      </c>
      <c r="E9" s="9" t="s">
        <v>68</v>
      </c>
      <c r="F9" s="9" t="s">
        <v>69</v>
      </c>
      <c r="G9" s="9" t="s">
        <v>13</v>
      </c>
      <c r="H9" s="9" t="s">
        <v>70</v>
      </c>
      <c r="I9" s="10">
        <v>500</v>
      </c>
      <c r="J9" s="11">
        <f>Quoten!B11</f>
        <v>1</v>
      </c>
      <c r="K9" s="10">
        <f t="shared" si="0"/>
        <v>500</v>
      </c>
      <c r="L9" s="10">
        <f t="shared" si="1"/>
        <v>500</v>
      </c>
      <c r="M9" s="2" t="s">
        <v>61</v>
      </c>
    </row>
    <row r="10" spans="1:13" x14ac:dyDescent="0.25">
      <c r="A10" s="9">
        <v>5</v>
      </c>
      <c r="B10" s="9" t="s">
        <v>56</v>
      </c>
      <c r="C10" s="9" t="s">
        <v>4</v>
      </c>
      <c r="D10" s="9" t="s">
        <v>57</v>
      </c>
      <c r="E10" s="9" t="s">
        <v>71</v>
      </c>
      <c r="F10" s="9" t="s">
        <v>72</v>
      </c>
      <c r="G10" s="9" t="s">
        <v>15</v>
      </c>
      <c r="H10" s="9" t="s">
        <v>73</v>
      </c>
      <c r="I10" s="10">
        <v>500</v>
      </c>
      <c r="J10" s="11">
        <f>Quoten!B12</f>
        <v>1</v>
      </c>
      <c r="K10" s="10">
        <f t="shared" si="0"/>
        <v>500</v>
      </c>
      <c r="L10" s="10">
        <f t="shared" si="1"/>
        <v>500</v>
      </c>
      <c r="M10" s="2" t="s">
        <v>61</v>
      </c>
    </row>
    <row r="11" spans="1:13" x14ac:dyDescent="0.25">
      <c r="A11" s="9">
        <v>6</v>
      </c>
      <c r="B11" s="9" t="s">
        <v>56</v>
      </c>
      <c r="C11" s="9" t="s">
        <v>4</v>
      </c>
      <c r="D11" s="9" t="s">
        <v>57</v>
      </c>
      <c r="E11" s="9" t="s">
        <v>74</v>
      </c>
      <c r="F11" s="9" t="s">
        <v>75</v>
      </c>
      <c r="G11" s="9" t="s">
        <v>17</v>
      </c>
      <c r="H11" s="9" t="s">
        <v>76</v>
      </c>
      <c r="I11" s="10">
        <v>500</v>
      </c>
      <c r="J11" s="11">
        <v>1</v>
      </c>
      <c r="K11" s="10">
        <f t="shared" si="0"/>
        <v>500</v>
      </c>
      <c r="L11" s="10">
        <f t="shared" si="1"/>
        <v>500</v>
      </c>
      <c r="M11" s="2" t="s">
        <v>61</v>
      </c>
    </row>
    <row r="12" spans="1:13" x14ac:dyDescent="0.25">
      <c r="A12" s="9">
        <v>7</v>
      </c>
      <c r="B12" s="9" t="s">
        <v>56</v>
      </c>
      <c r="C12" s="9" t="s">
        <v>4</v>
      </c>
      <c r="D12" s="9" t="s">
        <v>57</v>
      </c>
      <c r="E12" s="9" t="s">
        <v>77</v>
      </c>
      <c r="F12" s="9" t="s">
        <v>78</v>
      </c>
      <c r="G12" s="9" t="s">
        <v>18</v>
      </c>
      <c r="H12" s="9" t="s">
        <v>79</v>
      </c>
      <c r="I12" s="10">
        <v>500</v>
      </c>
      <c r="J12" s="11">
        <v>1</v>
      </c>
      <c r="K12" s="10">
        <f t="shared" si="0"/>
        <v>500</v>
      </c>
      <c r="L12" s="10">
        <f t="shared" si="1"/>
        <v>500</v>
      </c>
      <c r="M12" s="2" t="s">
        <v>61</v>
      </c>
    </row>
    <row r="13" spans="1:13" x14ac:dyDescent="0.25">
      <c r="A13" s="9">
        <v>8</v>
      </c>
      <c r="B13" s="9" t="s">
        <v>56</v>
      </c>
      <c r="C13" s="9" t="s">
        <v>4</v>
      </c>
      <c r="D13" s="9" t="s">
        <v>57</v>
      </c>
      <c r="E13" s="9" t="s">
        <v>80</v>
      </c>
      <c r="F13" s="9" t="s">
        <v>81</v>
      </c>
      <c r="G13" s="9" t="s">
        <v>19</v>
      </c>
      <c r="H13" s="9" t="s">
        <v>82</v>
      </c>
      <c r="I13" s="10">
        <v>500</v>
      </c>
      <c r="J13" s="11">
        <v>0</v>
      </c>
      <c r="K13" s="10">
        <f t="shared" si="0"/>
        <v>0</v>
      </c>
      <c r="L13" s="10">
        <f t="shared" si="1"/>
        <v>0</v>
      </c>
      <c r="M13" s="2" t="s">
        <v>61</v>
      </c>
    </row>
    <row r="14" spans="1:13" x14ac:dyDescent="0.25">
      <c r="A14" s="9">
        <v>9</v>
      </c>
      <c r="B14" s="9" t="s">
        <v>56</v>
      </c>
      <c r="C14" s="9" t="s">
        <v>4</v>
      </c>
      <c r="D14" s="9" t="s">
        <v>57</v>
      </c>
      <c r="E14" s="9" t="s">
        <v>83</v>
      </c>
      <c r="F14" s="9" t="s">
        <v>84</v>
      </c>
      <c r="G14" s="9" t="s">
        <v>21</v>
      </c>
      <c r="H14" s="9" t="s">
        <v>82</v>
      </c>
      <c r="I14" s="10">
        <v>7500</v>
      </c>
      <c r="J14" s="11">
        <v>0.5</v>
      </c>
      <c r="K14" s="10">
        <f t="shared" si="0"/>
        <v>3750</v>
      </c>
      <c r="L14" s="10">
        <f t="shared" si="1"/>
        <v>3750</v>
      </c>
      <c r="M14" s="2" t="s">
        <v>61</v>
      </c>
    </row>
    <row r="15" spans="1:13" x14ac:dyDescent="0.25">
      <c r="A15" s="9">
        <v>10</v>
      </c>
      <c r="B15" s="9" t="s">
        <v>56</v>
      </c>
      <c r="C15" s="9" t="s">
        <v>4</v>
      </c>
      <c r="D15" s="9" t="s">
        <v>57</v>
      </c>
      <c r="E15" s="9" t="s">
        <v>85</v>
      </c>
      <c r="F15" s="9" t="s">
        <v>86</v>
      </c>
      <c r="G15" s="9" t="s">
        <v>23</v>
      </c>
      <c r="H15" s="9" t="s">
        <v>87</v>
      </c>
      <c r="I15" s="10">
        <v>7500</v>
      </c>
      <c r="J15" s="11">
        <v>0.5</v>
      </c>
      <c r="K15" s="10">
        <f t="shared" si="0"/>
        <v>3750</v>
      </c>
      <c r="L15" s="10">
        <f t="shared" si="1"/>
        <v>3750</v>
      </c>
      <c r="M15" s="2" t="s">
        <v>61</v>
      </c>
    </row>
    <row r="16" spans="1:13" x14ac:dyDescent="0.25">
      <c r="A16" s="9">
        <v>11</v>
      </c>
      <c r="B16" s="9" t="s">
        <v>56</v>
      </c>
      <c r="C16" s="9" t="s">
        <v>4</v>
      </c>
      <c r="D16" s="9" t="s">
        <v>57</v>
      </c>
      <c r="E16" s="9" t="s">
        <v>88</v>
      </c>
      <c r="F16" s="9" t="s">
        <v>89</v>
      </c>
      <c r="G16" s="9" t="s">
        <v>25</v>
      </c>
      <c r="H16" s="9" t="s">
        <v>90</v>
      </c>
      <c r="I16" s="10">
        <v>7500</v>
      </c>
      <c r="J16" s="11">
        <v>0.5</v>
      </c>
      <c r="K16" s="10">
        <f t="shared" si="0"/>
        <v>3750</v>
      </c>
      <c r="L16" s="10">
        <f t="shared" si="1"/>
        <v>3750</v>
      </c>
      <c r="M16" s="2" t="s">
        <v>61</v>
      </c>
    </row>
    <row r="17" spans="1:13" x14ac:dyDescent="0.25">
      <c r="A17" s="9">
        <v>12</v>
      </c>
      <c r="B17" s="9" t="s">
        <v>56</v>
      </c>
      <c r="C17" s="9" t="s">
        <v>4</v>
      </c>
      <c r="D17" s="9" t="s">
        <v>57</v>
      </c>
      <c r="E17" s="9" t="s">
        <v>91</v>
      </c>
      <c r="F17" s="9" t="s">
        <v>92</v>
      </c>
      <c r="G17" s="9" t="s">
        <v>26</v>
      </c>
      <c r="H17" s="9" t="s">
        <v>93</v>
      </c>
      <c r="I17" s="10">
        <v>7500</v>
      </c>
      <c r="J17" s="11">
        <v>0.5</v>
      </c>
      <c r="K17" s="10">
        <f t="shared" si="0"/>
        <v>3750</v>
      </c>
      <c r="L17" s="10">
        <f t="shared" si="1"/>
        <v>3750</v>
      </c>
      <c r="M17" s="2" t="s">
        <v>61</v>
      </c>
    </row>
    <row r="18" spans="1:13" x14ac:dyDescent="0.25">
      <c r="A18" s="9">
        <v>13</v>
      </c>
      <c r="B18" s="9" t="s">
        <v>56</v>
      </c>
      <c r="C18" s="9" t="s">
        <v>4</v>
      </c>
      <c r="D18" s="9" t="s">
        <v>57</v>
      </c>
      <c r="E18" s="9" t="s">
        <v>94</v>
      </c>
      <c r="F18" s="9" t="s">
        <v>95</v>
      </c>
      <c r="G18" s="9" t="s">
        <v>28</v>
      </c>
      <c r="H18" s="9" t="s">
        <v>96</v>
      </c>
      <c r="I18" s="10">
        <v>7500</v>
      </c>
      <c r="J18" s="11">
        <v>1</v>
      </c>
      <c r="K18" s="10">
        <f t="shared" si="0"/>
        <v>7500</v>
      </c>
      <c r="L18" s="10">
        <f t="shared" si="1"/>
        <v>7500</v>
      </c>
      <c r="M18" s="2" t="s">
        <v>61</v>
      </c>
    </row>
    <row r="19" spans="1:13" x14ac:dyDescent="0.25">
      <c r="A19" s="9">
        <v>14</v>
      </c>
      <c r="B19" s="9" t="s">
        <v>56</v>
      </c>
      <c r="C19" s="9" t="s">
        <v>4</v>
      </c>
      <c r="D19" s="9" t="s">
        <v>57</v>
      </c>
      <c r="E19" s="9" t="s">
        <v>97</v>
      </c>
      <c r="F19" s="9" t="s">
        <v>98</v>
      </c>
      <c r="G19" s="9" t="s">
        <v>30</v>
      </c>
      <c r="H19" s="9" t="s">
        <v>99</v>
      </c>
      <c r="I19" s="10">
        <v>7500</v>
      </c>
      <c r="J19" s="11">
        <v>0.95</v>
      </c>
      <c r="K19" s="10">
        <f t="shared" si="0"/>
        <v>7125</v>
      </c>
      <c r="L19" s="10">
        <f t="shared" si="1"/>
        <v>7125</v>
      </c>
      <c r="M19" s="2" t="s">
        <v>61</v>
      </c>
    </row>
    <row r="20" spans="1:13" x14ac:dyDescent="0.25">
      <c r="A20" s="9">
        <v>15</v>
      </c>
      <c r="B20" s="9" t="s">
        <v>56</v>
      </c>
      <c r="C20" s="9" t="s">
        <v>4</v>
      </c>
      <c r="D20" s="9" t="s">
        <v>57</v>
      </c>
      <c r="E20" s="9" t="s">
        <v>100</v>
      </c>
      <c r="F20" s="9" t="s">
        <v>101</v>
      </c>
      <c r="G20" s="9" t="s">
        <v>32</v>
      </c>
      <c r="H20" s="9" t="s">
        <v>102</v>
      </c>
      <c r="I20" s="10">
        <v>7500</v>
      </c>
      <c r="J20" s="11">
        <v>0.95</v>
      </c>
      <c r="K20" s="10">
        <f t="shared" si="0"/>
        <v>7125</v>
      </c>
      <c r="L20" s="10">
        <f t="shared" si="1"/>
        <v>7125</v>
      </c>
      <c r="M20" s="2" t="s">
        <v>61</v>
      </c>
    </row>
    <row r="21" spans="1:13" x14ac:dyDescent="0.25">
      <c r="A21" s="9">
        <v>16</v>
      </c>
      <c r="B21" s="9" t="s">
        <v>56</v>
      </c>
      <c r="C21" s="9" t="s">
        <v>4</v>
      </c>
      <c r="D21" s="9" t="s">
        <v>57</v>
      </c>
      <c r="E21" s="9" t="s">
        <v>103</v>
      </c>
      <c r="F21" s="9" t="s">
        <v>104</v>
      </c>
      <c r="G21" s="9" t="s">
        <v>33</v>
      </c>
      <c r="H21" s="9" t="s">
        <v>105</v>
      </c>
      <c r="I21" s="10">
        <v>4000</v>
      </c>
      <c r="J21" s="11">
        <v>1</v>
      </c>
      <c r="K21" s="10">
        <f t="shared" si="0"/>
        <v>4000</v>
      </c>
      <c r="L21" s="10">
        <f t="shared" si="1"/>
        <v>4000</v>
      </c>
      <c r="M21" s="2" t="s">
        <v>61</v>
      </c>
    </row>
    <row r="22" spans="1:13" x14ac:dyDescent="0.25">
      <c r="A22" s="9">
        <v>17</v>
      </c>
      <c r="B22" s="9" t="s">
        <v>56</v>
      </c>
      <c r="C22" s="9" t="s">
        <v>4</v>
      </c>
      <c r="D22" s="9" t="s">
        <v>57</v>
      </c>
      <c r="E22" s="9" t="s">
        <v>106</v>
      </c>
      <c r="F22" s="9" t="s">
        <v>107</v>
      </c>
      <c r="G22" s="9" t="s">
        <v>35</v>
      </c>
      <c r="H22" s="9" t="s">
        <v>108</v>
      </c>
      <c r="I22" s="10">
        <v>4000</v>
      </c>
      <c r="J22" s="11">
        <v>1</v>
      </c>
      <c r="K22" s="10">
        <f t="shared" si="0"/>
        <v>4000</v>
      </c>
      <c r="L22" s="10">
        <f t="shared" si="1"/>
        <v>4000</v>
      </c>
      <c r="M22" s="2" t="s">
        <v>61</v>
      </c>
    </row>
    <row r="23" spans="1:13" x14ac:dyDescent="0.25">
      <c r="A23" s="9">
        <v>18</v>
      </c>
      <c r="B23" s="9" t="s">
        <v>56</v>
      </c>
      <c r="C23" s="9" t="s">
        <v>4</v>
      </c>
      <c r="D23" s="9" t="s">
        <v>57</v>
      </c>
      <c r="E23" s="9" t="s">
        <v>109</v>
      </c>
      <c r="F23" s="9" t="s">
        <v>110</v>
      </c>
      <c r="G23" s="9" t="s">
        <v>37</v>
      </c>
      <c r="H23" s="9" t="s">
        <v>111</v>
      </c>
      <c r="I23" s="10">
        <v>4000</v>
      </c>
      <c r="J23" s="11">
        <v>1</v>
      </c>
      <c r="K23" s="10">
        <f t="shared" si="0"/>
        <v>4000</v>
      </c>
      <c r="L23" s="10">
        <f t="shared" si="1"/>
        <v>4000</v>
      </c>
      <c r="M23" s="2" t="s">
        <v>61</v>
      </c>
    </row>
    <row r="24" spans="1:13" x14ac:dyDescent="0.25">
      <c r="A24" s="9">
        <v>19</v>
      </c>
      <c r="B24" s="9" t="s">
        <v>56</v>
      </c>
      <c r="C24" s="9" t="s">
        <v>4</v>
      </c>
      <c r="D24" s="9" t="s">
        <v>57</v>
      </c>
      <c r="E24" s="9" t="s">
        <v>112</v>
      </c>
      <c r="F24" s="9" t="s">
        <v>113</v>
      </c>
      <c r="G24" s="9" t="s">
        <v>38</v>
      </c>
      <c r="H24" s="9" t="s">
        <v>114</v>
      </c>
      <c r="I24" s="10">
        <v>4000</v>
      </c>
      <c r="J24" s="11">
        <v>1</v>
      </c>
      <c r="K24" s="10">
        <f t="shared" si="0"/>
        <v>4000</v>
      </c>
      <c r="L24" s="10">
        <f t="shared" si="1"/>
        <v>4000</v>
      </c>
      <c r="M24" s="2" t="s">
        <v>61</v>
      </c>
    </row>
    <row r="25" spans="1:13" x14ac:dyDescent="0.25">
      <c r="A25" s="7" t="s">
        <v>115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25">
      <c r="A26" s="9">
        <v>20</v>
      </c>
      <c r="B26" s="9" t="s">
        <v>116</v>
      </c>
      <c r="C26" s="9" t="s">
        <v>5</v>
      </c>
      <c r="D26" s="9" t="s">
        <v>57</v>
      </c>
      <c r="E26" s="9" t="s">
        <v>58</v>
      </c>
      <c r="F26" s="9" t="s">
        <v>59</v>
      </c>
      <c r="G26" s="9" t="s">
        <v>8</v>
      </c>
      <c r="H26" s="9" t="s">
        <v>60</v>
      </c>
      <c r="I26" s="10">
        <v>4308.83</v>
      </c>
      <c r="J26" s="11">
        <f>Quoten!C8</f>
        <v>1</v>
      </c>
      <c r="K26" s="10">
        <f t="shared" ref="K26:K33" si="2">I26*J26</f>
        <v>4308.83</v>
      </c>
      <c r="L26" s="10">
        <f t="shared" ref="L26:L33" si="3">K26</f>
        <v>4308.83</v>
      </c>
      <c r="M26" s="2" t="s">
        <v>117</v>
      </c>
    </row>
    <row r="27" spans="1:13" x14ac:dyDescent="0.25">
      <c r="A27" s="9">
        <v>21</v>
      </c>
      <c r="B27" s="9" t="s">
        <v>116</v>
      </c>
      <c r="C27" s="9" t="s">
        <v>5</v>
      </c>
      <c r="D27" s="9" t="s">
        <v>57</v>
      </c>
      <c r="E27" s="9" t="s">
        <v>62</v>
      </c>
      <c r="F27" s="9" t="s">
        <v>63</v>
      </c>
      <c r="G27" s="9" t="s">
        <v>10</v>
      </c>
      <c r="H27" s="9" t="s">
        <v>64</v>
      </c>
      <c r="I27" s="10">
        <v>4308.83</v>
      </c>
      <c r="J27" s="11">
        <f>Quoten!C9</f>
        <v>1</v>
      </c>
      <c r="K27" s="10">
        <f t="shared" si="2"/>
        <v>4308.83</v>
      </c>
      <c r="L27" s="10">
        <f t="shared" si="3"/>
        <v>4308.83</v>
      </c>
      <c r="M27" s="2" t="s">
        <v>117</v>
      </c>
    </row>
    <row r="28" spans="1:13" x14ac:dyDescent="0.25">
      <c r="A28" s="9">
        <v>22</v>
      </c>
      <c r="B28" s="9" t="s">
        <v>116</v>
      </c>
      <c r="C28" s="9" t="s">
        <v>5</v>
      </c>
      <c r="D28" s="9" t="s">
        <v>57</v>
      </c>
      <c r="E28" s="9" t="s">
        <v>65</v>
      </c>
      <c r="F28" s="9" t="s">
        <v>66</v>
      </c>
      <c r="G28" s="9" t="s">
        <v>11</v>
      </c>
      <c r="H28" s="9" t="s">
        <v>67</v>
      </c>
      <c r="I28" s="10">
        <v>4308.83</v>
      </c>
      <c r="J28" s="11">
        <f>Quoten!C10</f>
        <v>1</v>
      </c>
      <c r="K28" s="10">
        <f t="shared" si="2"/>
        <v>4308.83</v>
      </c>
      <c r="L28" s="10">
        <f t="shared" si="3"/>
        <v>4308.83</v>
      </c>
      <c r="M28" s="2" t="s">
        <v>117</v>
      </c>
    </row>
    <row r="29" spans="1:13" x14ac:dyDescent="0.25">
      <c r="A29" s="9">
        <v>23</v>
      </c>
      <c r="B29" s="9" t="s">
        <v>116</v>
      </c>
      <c r="C29" s="9" t="s">
        <v>5</v>
      </c>
      <c r="D29" s="9" t="s">
        <v>57</v>
      </c>
      <c r="E29" s="9" t="s">
        <v>68</v>
      </c>
      <c r="F29" s="9" t="s">
        <v>69</v>
      </c>
      <c r="G29" s="9" t="s">
        <v>13</v>
      </c>
      <c r="H29" s="9" t="s">
        <v>70</v>
      </c>
      <c r="I29" s="10">
        <v>4308.83</v>
      </c>
      <c r="J29" s="11">
        <f>Quoten!C11</f>
        <v>1</v>
      </c>
      <c r="K29" s="10">
        <f t="shared" si="2"/>
        <v>4308.83</v>
      </c>
      <c r="L29" s="10">
        <f t="shared" si="3"/>
        <v>4308.83</v>
      </c>
      <c r="M29" s="2" t="s">
        <v>117</v>
      </c>
    </row>
    <row r="30" spans="1:13" x14ac:dyDescent="0.25">
      <c r="A30" s="9">
        <v>24</v>
      </c>
      <c r="B30" s="9" t="s">
        <v>116</v>
      </c>
      <c r="C30" s="9" t="s">
        <v>5</v>
      </c>
      <c r="D30" s="9" t="s">
        <v>57</v>
      </c>
      <c r="E30" s="9" t="s">
        <v>83</v>
      </c>
      <c r="F30" s="9" t="s">
        <v>84</v>
      </c>
      <c r="G30" s="9" t="s">
        <v>21</v>
      </c>
      <c r="H30" s="9" t="s">
        <v>82</v>
      </c>
      <c r="I30" s="10">
        <v>4308.83</v>
      </c>
      <c r="J30" s="11">
        <v>1</v>
      </c>
      <c r="K30" s="10">
        <f t="shared" si="2"/>
        <v>4308.83</v>
      </c>
      <c r="L30" s="10">
        <f t="shared" si="3"/>
        <v>4308.83</v>
      </c>
      <c r="M30" s="2" t="s">
        <v>117</v>
      </c>
    </row>
    <row r="31" spans="1:13" x14ac:dyDescent="0.25">
      <c r="A31" s="9">
        <v>25</v>
      </c>
      <c r="B31" s="9" t="s">
        <v>116</v>
      </c>
      <c r="C31" s="9" t="s">
        <v>5</v>
      </c>
      <c r="D31" s="9" t="s">
        <v>57</v>
      </c>
      <c r="E31" s="9" t="s">
        <v>85</v>
      </c>
      <c r="F31" s="9" t="s">
        <v>86</v>
      </c>
      <c r="G31" s="9" t="s">
        <v>23</v>
      </c>
      <c r="H31" s="9" t="s">
        <v>87</v>
      </c>
      <c r="I31" s="10">
        <v>4308.83</v>
      </c>
      <c r="J31" s="11">
        <v>1</v>
      </c>
      <c r="K31" s="10">
        <f t="shared" si="2"/>
        <v>4308.83</v>
      </c>
      <c r="L31" s="10">
        <f t="shared" si="3"/>
        <v>4308.83</v>
      </c>
      <c r="M31" s="2" t="s">
        <v>117</v>
      </c>
    </row>
    <row r="32" spans="1:13" x14ac:dyDescent="0.25">
      <c r="A32" s="9">
        <v>26</v>
      </c>
      <c r="B32" s="9" t="s">
        <v>116</v>
      </c>
      <c r="C32" s="9" t="s">
        <v>5</v>
      </c>
      <c r="D32" s="9" t="s">
        <v>57</v>
      </c>
      <c r="E32" s="9" t="s">
        <v>88</v>
      </c>
      <c r="F32" s="9" t="s">
        <v>89</v>
      </c>
      <c r="G32" s="9" t="s">
        <v>25</v>
      </c>
      <c r="H32" s="9" t="s">
        <v>90</v>
      </c>
      <c r="I32" s="10">
        <v>4308.83</v>
      </c>
      <c r="J32" s="11">
        <v>1</v>
      </c>
      <c r="K32" s="10">
        <f t="shared" si="2"/>
        <v>4308.83</v>
      </c>
      <c r="L32" s="10">
        <f t="shared" si="3"/>
        <v>4308.83</v>
      </c>
      <c r="M32" s="2" t="s">
        <v>117</v>
      </c>
    </row>
    <row r="33" spans="1:13" x14ac:dyDescent="0.25">
      <c r="A33" s="9">
        <v>27</v>
      </c>
      <c r="B33" s="9" t="s">
        <v>116</v>
      </c>
      <c r="C33" s="9" t="s">
        <v>5</v>
      </c>
      <c r="D33" s="9" t="s">
        <v>57</v>
      </c>
      <c r="E33" s="9" t="s">
        <v>91</v>
      </c>
      <c r="F33" s="9" t="s">
        <v>92</v>
      </c>
      <c r="G33" s="9" t="s">
        <v>26</v>
      </c>
      <c r="H33" s="9" t="s">
        <v>93</v>
      </c>
      <c r="I33" s="10">
        <v>4305.33</v>
      </c>
      <c r="J33" s="11">
        <v>1</v>
      </c>
      <c r="K33" s="10">
        <f t="shared" si="2"/>
        <v>4305.33</v>
      </c>
      <c r="L33" s="10">
        <f t="shared" si="3"/>
        <v>4305.33</v>
      </c>
      <c r="M33" s="2" t="s">
        <v>118</v>
      </c>
    </row>
    <row r="34" spans="1:13" x14ac:dyDescent="0.25">
      <c r="A34" s="7" t="s">
        <v>119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25">
      <c r="A35" s="9">
        <v>28</v>
      </c>
      <c r="B35" s="9" t="s">
        <v>116</v>
      </c>
      <c r="C35" s="9" t="s">
        <v>6</v>
      </c>
      <c r="D35" s="9" t="s">
        <v>57</v>
      </c>
      <c r="E35" s="9" t="s">
        <v>106</v>
      </c>
      <c r="F35" s="9" t="s">
        <v>107</v>
      </c>
      <c r="G35" s="9" t="s">
        <v>35</v>
      </c>
      <c r="H35" s="9" t="s">
        <v>120</v>
      </c>
      <c r="I35" s="10">
        <v>0</v>
      </c>
      <c r="J35" s="11">
        <f>Quoten!D24</f>
        <v>1</v>
      </c>
      <c r="K35" s="10">
        <f>I35*J35</f>
        <v>0</v>
      </c>
      <c r="L35" s="10">
        <f>K35</f>
        <v>0</v>
      </c>
      <c r="M35" s="2" t="s">
        <v>121</v>
      </c>
    </row>
    <row r="36" spans="1:13" x14ac:dyDescent="0.25">
      <c r="A36" s="9">
        <v>29</v>
      </c>
      <c r="B36" s="9" t="s">
        <v>116</v>
      </c>
      <c r="C36" s="9" t="s">
        <v>6</v>
      </c>
      <c r="D36" s="9" t="s">
        <v>57</v>
      </c>
      <c r="E36" s="9" t="s">
        <v>109</v>
      </c>
      <c r="F36" s="9" t="s">
        <v>110</v>
      </c>
      <c r="G36" s="9" t="s">
        <v>37</v>
      </c>
      <c r="H36" s="9" t="s">
        <v>111</v>
      </c>
      <c r="I36" s="10">
        <v>3000</v>
      </c>
      <c r="J36" s="11">
        <f>Quoten!D25</f>
        <v>1</v>
      </c>
      <c r="K36" s="10">
        <f>I36*J36</f>
        <v>3000</v>
      </c>
      <c r="L36" s="10">
        <f>K36</f>
        <v>3000</v>
      </c>
      <c r="M36" s="2" t="s">
        <v>121</v>
      </c>
    </row>
    <row r="37" spans="1:13" x14ac:dyDescent="0.25">
      <c r="A37" s="9">
        <v>30</v>
      </c>
      <c r="B37" s="9" t="s">
        <v>116</v>
      </c>
      <c r="C37" s="9" t="s">
        <v>6</v>
      </c>
      <c r="D37" s="9" t="s">
        <v>57</v>
      </c>
      <c r="E37" s="9" t="s">
        <v>112</v>
      </c>
      <c r="F37" s="9" t="s">
        <v>113</v>
      </c>
      <c r="G37" s="9" t="s">
        <v>38</v>
      </c>
      <c r="H37" s="9" t="s">
        <v>114</v>
      </c>
      <c r="I37" s="10">
        <v>3000</v>
      </c>
      <c r="J37" s="11">
        <f>Quoten!D26</f>
        <v>1</v>
      </c>
      <c r="K37" s="10">
        <f>I37*J37</f>
        <v>3000</v>
      </c>
      <c r="L37" s="10">
        <f>K37</f>
        <v>3000</v>
      </c>
      <c r="M37" s="2" t="s">
        <v>121</v>
      </c>
    </row>
    <row r="38" spans="1:13" x14ac:dyDescent="0.25">
      <c r="A38" s="7" t="s">
        <v>122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25">
      <c r="A39" s="9">
        <v>31</v>
      </c>
      <c r="B39" s="9" t="s">
        <v>123</v>
      </c>
      <c r="C39" s="9" t="s">
        <v>124</v>
      </c>
      <c r="D39" s="9" t="s">
        <v>125</v>
      </c>
      <c r="E39" s="9" t="s">
        <v>126</v>
      </c>
      <c r="F39" s="9" t="s">
        <v>127</v>
      </c>
      <c r="G39" s="9" t="s">
        <v>128</v>
      </c>
      <c r="H39" s="9" t="s">
        <v>127</v>
      </c>
      <c r="I39" s="10">
        <v>1215</v>
      </c>
      <c r="J39" s="11">
        <v>0</v>
      </c>
      <c r="K39" s="10">
        <f t="shared" ref="K39:K51" si="4">I39*J39</f>
        <v>0</v>
      </c>
      <c r="L39" s="10">
        <f t="shared" ref="L39:L51" si="5">K39</f>
        <v>0</v>
      </c>
      <c r="M39" s="2" t="s">
        <v>129</v>
      </c>
    </row>
    <row r="40" spans="1:13" x14ac:dyDescent="0.25">
      <c r="A40" s="9">
        <v>32</v>
      </c>
      <c r="B40" s="9" t="s">
        <v>123</v>
      </c>
      <c r="C40" s="9" t="s">
        <v>124</v>
      </c>
      <c r="D40" s="9" t="s">
        <v>125</v>
      </c>
      <c r="E40" s="9" t="s">
        <v>130</v>
      </c>
      <c r="F40" s="9" t="s">
        <v>131</v>
      </c>
      <c r="G40" s="9" t="s">
        <v>132</v>
      </c>
      <c r="H40" s="9" t="s">
        <v>131</v>
      </c>
      <c r="I40" s="10">
        <v>2415</v>
      </c>
      <c r="J40" s="11">
        <v>1</v>
      </c>
      <c r="K40" s="10">
        <f t="shared" si="4"/>
        <v>2415</v>
      </c>
      <c r="L40" s="10">
        <f t="shared" si="5"/>
        <v>2415</v>
      </c>
      <c r="M40" s="2"/>
    </row>
    <row r="41" spans="1:13" x14ac:dyDescent="0.25">
      <c r="A41" s="9">
        <v>33</v>
      </c>
      <c r="B41" s="9" t="s">
        <v>123</v>
      </c>
      <c r="C41" s="9" t="s">
        <v>124</v>
      </c>
      <c r="D41" s="9" t="s">
        <v>125</v>
      </c>
      <c r="E41" s="9" t="s">
        <v>133</v>
      </c>
      <c r="F41" s="9" t="s">
        <v>134</v>
      </c>
      <c r="G41" s="9" t="s">
        <v>135</v>
      </c>
      <c r="H41" s="9" t="s">
        <v>134</v>
      </c>
      <c r="I41" s="10">
        <v>2040</v>
      </c>
      <c r="J41" s="11">
        <v>1</v>
      </c>
      <c r="K41" s="10">
        <f t="shared" si="4"/>
        <v>2040</v>
      </c>
      <c r="L41" s="10">
        <f t="shared" si="5"/>
        <v>2040</v>
      </c>
      <c r="M41" s="2"/>
    </row>
    <row r="42" spans="1:13" x14ac:dyDescent="0.25">
      <c r="A42" s="9">
        <v>34</v>
      </c>
      <c r="B42" s="9" t="s">
        <v>123</v>
      </c>
      <c r="C42" s="9" t="s">
        <v>124</v>
      </c>
      <c r="D42" s="9" t="s">
        <v>125</v>
      </c>
      <c r="E42" s="9" t="s">
        <v>136</v>
      </c>
      <c r="F42" s="9" t="s">
        <v>137</v>
      </c>
      <c r="G42" s="9" t="s">
        <v>138</v>
      </c>
      <c r="H42" s="9" t="s">
        <v>137</v>
      </c>
      <c r="I42" s="10">
        <v>1440</v>
      </c>
      <c r="J42" s="11">
        <v>1</v>
      </c>
      <c r="K42" s="10">
        <f t="shared" si="4"/>
        <v>1440</v>
      </c>
      <c r="L42" s="10">
        <f t="shared" si="5"/>
        <v>1440</v>
      </c>
      <c r="M42" s="2"/>
    </row>
    <row r="43" spans="1:13" x14ac:dyDescent="0.25">
      <c r="A43" s="9">
        <v>35</v>
      </c>
      <c r="B43" s="9" t="s">
        <v>123</v>
      </c>
      <c r="C43" s="9" t="s">
        <v>124</v>
      </c>
      <c r="D43" s="9" t="s">
        <v>125</v>
      </c>
      <c r="E43" s="9" t="s">
        <v>139</v>
      </c>
      <c r="F43" s="9" t="s">
        <v>140</v>
      </c>
      <c r="G43" s="9" t="s">
        <v>141</v>
      </c>
      <c r="H43" s="9" t="s">
        <v>140</v>
      </c>
      <c r="I43" s="10">
        <v>2130</v>
      </c>
      <c r="J43" s="11">
        <v>1</v>
      </c>
      <c r="K43" s="10">
        <f t="shared" si="4"/>
        <v>2130</v>
      </c>
      <c r="L43" s="10">
        <f t="shared" si="5"/>
        <v>2130</v>
      </c>
      <c r="M43" s="2"/>
    </row>
    <row r="44" spans="1:13" x14ac:dyDescent="0.25">
      <c r="A44" s="9">
        <v>36</v>
      </c>
      <c r="B44" s="9" t="s">
        <v>123</v>
      </c>
      <c r="C44" s="9" t="s">
        <v>124</v>
      </c>
      <c r="D44" s="9" t="s">
        <v>125</v>
      </c>
      <c r="E44" s="9" t="s">
        <v>142</v>
      </c>
      <c r="F44" s="9" t="s">
        <v>143</v>
      </c>
      <c r="G44" s="9" t="s">
        <v>144</v>
      </c>
      <c r="H44" s="9" t="s">
        <v>143</v>
      </c>
      <c r="I44" s="10">
        <v>1170</v>
      </c>
      <c r="J44" s="11">
        <v>1</v>
      </c>
      <c r="K44" s="10">
        <f t="shared" si="4"/>
        <v>1170</v>
      </c>
      <c r="L44" s="10">
        <f t="shared" si="5"/>
        <v>1170</v>
      </c>
      <c r="M44" s="2"/>
    </row>
    <row r="45" spans="1:13" x14ac:dyDescent="0.25">
      <c r="A45" s="9">
        <v>37</v>
      </c>
      <c r="B45" s="9" t="s">
        <v>123</v>
      </c>
      <c r="C45" s="9" t="s">
        <v>124</v>
      </c>
      <c r="D45" s="9" t="s">
        <v>125</v>
      </c>
      <c r="E45" s="9" t="s">
        <v>145</v>
      </c>
      <c r="F45" s="9" t="s">
        <v>146</v>
      </c>
      <c r="G45" s="9" t="s">
        <v>147</v>
      </c>
      <c r="H45" s="9" t="s">
        <v>146</v>
      </c>
      <c r="I45" s="10">
        <v>1185</v>
      </c>
      <c r="J45" s="11">
        <v>1</v>
      </c>
      <c r="K45" s="10">
        <f t="shared" si="4"/>
        <v>1185</v>
      </c>
      <c r="L45" s="10">
        <f t="shared" si="5"/>
        <v>1185</v>
      </c>
      <c r="M45" s="2"/>
    </row>
    <row r="46" spans="1:13" x14ac:dyDescent="0.25">
      <c r="A46" s="9">
        <v>38</v>
      </c>
      <c r="B46" s="9" t="s">
        <v>123</v>
      </c>
      <c r="C46" s="9" t="s">
        <v>124</v>
      </c>
      <c r="D46" s="9" t="s">
        <v>125</v>
      </c>
      <c r="E46" s="9" t="s">
        <v>148</v>
      </c>
      <c r="F46" s="9" t="s">
        <v>149</v>
      </c>
      <c r="G46" s="9" t="s">
        <v>150</v>
      </c>
      <c r="H46" s="9" t="s">
        <v>149</v>
      </c>
      <c r="I46" s="10">
        <v>1290</v>
      </c>
      <c r="J46" s="11">
        <v>1</v>
      </c>
      <c r="K46" s="10">
        <f t="shared" si="4"/>
        <v>1290</v>
      </c>
      <c r="L46" s="10">
        <f t="shared" si="5"/>
        <v>1290</v>
      </c>
      <c r="M46" s="2"/>
    </row>
    <row r="47" spans="1:13" x14ac:dyDescent="0.25">
      <c r="A47" s="9">
        <v>39</v>
      </c>
      <c r="B47" s="9" t="s">
        <v>123</v>
      </c>
      <c r="C47" s="9" t="s">
        <v>124</v>
      </c>
      <c r="D47" s="9" t="s">
        <v>125</v>
      </c>
      <c r="E47" s="9" t="s">
        <v>151</v>
      </c>
      <c r="F47" s="9" t="s">
        <v>152</v>
      </c>
      <c r="G47" s="9" t="s">
        <v>153</v>
      </c>
      <c r="H47" s="9" t="s">
        <v>152</v>
      </c>
      <c r="I47" s="10">
        <v>1800</v>
      </c>
      <c r="J47" s="11">
        <v>1</v>
      </c>
      <c r="K47" s="10">
        <f t="shared" si="4"/>
        <v>1800</v>
      </c>
      <c r="L47" s="10">
        <f t="shared" si="5"/>
        <v>1800</v>
      </c>
      <c r="M47" s="2"/>
    </row>
    <row r="48" spans="1:13" x14ac:dyDescent="0.25">
      <c r="A48" s="9">
        <v>40</v>
      </c>
      <c r="B48" s="9" t="s">
        <v>123</v>
      </c>
      <c r="C48" s="9" t="s">
        <v>124</v>
      </c>
      <c r="D48" s="9" t="s">
        <v>125</v>
      </c>
      <c r="E48" s="9" t="s">
        <v>154</v>
      </c>
      <c r="F48" s="9" t="s">
        <v>155</v>
      </c>
      <c r="G48" s="9" t="s">
        <v>156</v>
      </c>
      <c r="H48" s="9" t="s">
        <v>155</v>
      </c>
      <c r="I48" s="10">
        <v>2870</v>
      </c>
      <c r="J48" s="11">
        <v>1</v>
      </c>
      <c r="K48" s="10">
        <f t="shared" si="4"/>
        <v>2870</v>
      </c>
      <c r="L48" s="10">
        <f t="shared" si="5"/>
        <v>2870</v>
      </c>
      <c r="M48" s="2"/>
    </row>
    <row r="49" spans="1:13" x14ac:dyDescent="0.25">
      <c r="A49" s="9">
        <v>41</v>
      </c>
      <c r="B49" s="9" t="s">
        <v>123</v>
      </c>
      <c r="C49" s="9" t="s">
        <v>124</v>
      </c>
      <c r="D49" s="9" t="s">
        <v>125</v>
      </c>
      <c r="E49" s="9" t="s">
        <v>157</v>
      </c>
      <c r="F49" s="9" t="s">
        <v>158</v>
      </c>
      <c r="G49" s="9" t="s">
        <v>159</v>
      </c>
      <c r="H49" s="9" t="s">
        <v>158</v>
      </c>
      <c r="I49" s="10">
        <v>2835</v>
      </c>
      <c r="J49" s="11">
        <v>1</v>
      </c>
      <c r="K49" s="10">
        <f t="shared" si="4"/>
        <v>2835</v>
      </c>
      <c r="L49" s="10">
        <f t="shared" si="5"/>
        <v>2835</v>
      </c>
      <c r="M49" s="2"/>
    </row>
    <row r="50" spans="1:13" x14ac:dyDescent="0.25">
      <c r="A50" s="9">
        <v>42</v>
      </c>
      <c r="B50" s="9" t="s">
        <v>123</v>
      </c>
      <c r="C50" s="9" t="s">
        <v>124</v>
      </c>
      <c r="D50" s="9" t="s">
        <v>125</v>
      </c>
      <c r="E50" s="9" t="s">
        <v>160</v>
      </c>
      <c r="F50" s="9" t="s">
        <v>161</v>
      </c>
      <c r="G50" s="9" t="s">
        <v>162</v>
      </c>
      <c r="H50" s="9" t="s">
        <v>161</v>
      </c>
      <c r="I50" s="10">
        <v>2425</v>
      </c>
      <c r="J50" s="11">
        <v>1</v>
      </c>
      <c r="K50" s="10">
        <f t="shared" si="4"/>
        <v>2425</v>
      </c>
      <c r="L50" s="10">
        <f t="shared" si="5"/>
        <v>2425</v>
      </c>
      <c r="M50" s="2"/>
    </row>
    <row r="51" spans="1:13" x14ac:dyDescent="0.25">
      <c r="A51" s="9">
        <v>43</v>
      </c>
      <c r="B51" s="9" t="s">
        <v>123</v>
      </c>
      <c r="C51" s="9" t="s">
        <v>124</v>
      </c>
      <c r="D51" s="9" t="s">
        <v>125</v>
      </c>
      <c r="E51" s="9" t="s">
        <v>163</v>
      </c>
      <c r="F51" s="9" t="s">
        <v>161</v>
      </c>
      <c r="G51" s="9" t="s">
        <v>162</v>
      </c>
      <c r="H51" s="9" t="s">
        <v>161</v>
      </c>
      <c r="I51" s="10">
        <v>375</v>
      </c>
      <c r="J51" s="11">
        <v>1</v>
      </c>
      <c r="K51" s="10">
        <f t="shared" si="4"/>
        <v>375</v>
      </c>
      <c r="L51" s="10">
        <f t="shared" si="5"/>
        <v>375</v>
      </c>
      <c r="M51" s="2"/>
    </row>
    <row r="52" spans="1:13" x14ac:dyDescent="0.25">
      <c r="A52" s="7" t="s">
        <v>164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x14ac:dyDescent="0.25">
      <c r="A53" s="9">
        <v>44</v>
      </c>
      <c r="B53" s="9" t="s">
        <v>165</v>
      </c>
      <c r="C53" s="9" t="s">
        <v>166</v>
      </c>
      <c r="D53" s="9" t="s">
        <v>167</v>
      </c>
      <c r="E53" s="9" t="s">
        <v>168</v>
      </c>
      <c r="F53" s="9" t="s">
        <v>169</v>
      </c>
      <c r="G53" s="9" t="s">
        <v>170</v>
      </c>
      <c r="H53" s="9" t="s">
        <v>171</v>
      </c>
      <c r="I53" s="10">
        <v>2032.25</v>
      </c>
      <c r="J53" s="11">
        <v>1</v>
      </c>
      <c r="K53" s="10">
        <f>I53*J53</f>
        <v>2032.25</v>
      </c>
      <c r="L53" s="10">
        <v>0</v>
      </c>
      <c r="M53" s="2" t="s">
        <v>172</v>
      </c>
    </row>
    <row r="54" spans="1:13" x14ac:dyDescent="0.25">
      <c r="A54" s="9">
        <v>45</v>
      </c>
      <c r="B54" s="9" t="s">
        <v>173</v>
      </c>
      <c r="C54" s="9" t="s">
        <v>174</v>
      </c>
      <c r="D54" s="9" t="s">
        <v>175</v>
      </c>
      <c r="E54" s="9" t="s">
        <v>120</v>
      </c>
      <c r="F54" s="9" t="s">
        <v>120</v>
      </c>
      <c r="G54" s="9" t="s">
        <v>176</v>
      </c>
      <c r="H54" s="9" t="s">
        <v>120</v>
      </c>
      <c r="I54" s="10">
        <v>4391.1000000000004</v>
      </c>
      <c r="J54" s="11">
        <v>1</v>
      </c>
      <c r="K54" s="10">
        <f>I54*J54</f>
        <v>4391.1000000000004</v>
      </c>
      <c r="L54" s="10">
        <f>K54</f>
        <v>4391.1000000000004</v>
      </c>
      <c r="M54" s="2" t="s">
        <v>177</v>
      </c>
    </row>
    <row r="56" spans="1:13" x14ac:dyDescent="0.25">
      <c r="A56" s="8"/>
      <c r="B56" s="7" t="s">
        <v>178</v>
      </c>
      <c r="C56" s="8"/>
      <c r="D56" s="8"/>
      <c r="E56" s="8"/>
      <c r="F56" s="8"/>
      <c r="G56" s="8"/>
      <c r="H56" s="8"/>
      <c r="I56" s="12">
        <f>SUM(I5:I54)</f>
        <v>159080.49000000002</v>
      </c>
      <c r="J56" s="8"/>
      <c r="K56" s="12">
        <f>SUM(K5:K54)</f>
        <v>141615.49000000002</v>
      </c>
      <c r="L56" s="12">
        <f>SUM(L5:L54)</f>
        <v>139583.24000000002</v>
      </c>
      <c r="M5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zoomScaleNormal="100" workbookViewId="0"/>
  </sheetViews>
  <sheetFormatPr baseColWidth="10" defaultColWidth="8.7109375" defaultRowHeight="15" x14ac:dyDescent="0.25"/>
  <cols>
    <col min="1" max="1" width="42" customWidth="1"/>
    <col min="2" max="5" width="16" customWidth="1"/>
    <col min="6" max="6" width="10" customWidth="1"/>
    <col min="7" max="7" width="12" customWidth="1"/>
  </cols>
  <sheetData>
    <row r="1" spans="1:7" ht="16.5" x14ac:dyDescent="0.25">
      <c r="A1" s="1" t="s">
        <v>179</v>
      </c>
    </row>
    <row r="2" spans="1:7" x14ac:dyDescent="0.25">
      <c r="A2" s="2" t="s">
        <v>180</v>
      </c>
    </row>
    <row r="4" spans="1:7" x14ac:dyDescent="0.25">
      <c r="A4" s="13" t="s">
        <v>181</v>
      </c>
    </row>
    <row r="5" spans="1:7" ht="26.25" x14ac:dyDescent="0.25">
      <c r="A5" s="14"/>
      <c r="B5" s="14" t="s">
        <v>182</v>
      </c>
      <c r="C5" s="14" t="s">
        <v>183</v>
      </c>
      <c r="D5" s="14" t="s">
        <v>184</v>
      </c>
      <c r="E5" s="14" t="s">
        <v>185</v>
      </c>
      <c r="F5" s="14" t="s">
        <v>186</v>
      </c>
      <c r="G5" s="14" t="s">
        <v>187</v>
      </c>
    </row>
    <row r="6" spans="1:7" x14ac:dyDescent="0.25">
      <c r="A6" s="4" t="s">
        <v>4</v>
      </c>
      <c r="B6" s="5">
        <v>0.7</v>
      </c>
      <c r="C6" s="5">
        <v>0.15</v>
      </c>
      <c r="D6" s="5">
        <v>0.05</v>
      </c>
      <c r="E6" s="5">
        <v>0</v>
      </c>
      <c r="F6" s="5">
        <v>0.1</v>
      </c>
      <c r="G6" s="15">
        <f>SUM(B6:F6)</f>
        <v>1</v>
      </c>
    </row>
    <row r="7" spans="1:7" x14ac:dyDescent="0.25">
      <c r="A7" s="4" t="s">
        <v>5</v>
      </c>
      <c r="B7" s="5">
        <v>0</v>
      </c>
      <c r="C7" s="5">
        <v>0</v>
      </c>
      <c r="D7" s="5">
        <v>0.3</v>
      </c>
      <c r="E7" s="5">
        <v>0.15</v>
      </c>
      <c r="F7" s="5">
        <v>0.55000000000000004</v>
      </c>
      <c r="G7" s="15">
        <f>SUM(B7:F7)</f>
        <v>1</v>
      </c>
    </row>
    <row r="8" spans="1:7" x14ac:dyDescent="0.25">
      <c r="A8" s="4" t="s">
        <v>6</v>
      </c>
      <c r="B8" s="5">
        <v>0</v>
      </c>
      <c r="C8" s="5">
        <v>0</v>
      </c>
      <c r="D8" s="5">
        <v>0.5</v>
      </c>
      <c r="E8" s="5">
        <v>0</v>
      </c>
      <c r="F8" s="5">
        <v>0.5</v>
      </c>
      <c r="G8" s="15">
        <f>SUM(B8:F8)</f>
        <v>1</v>
      </c>
    </row>
    <row r="10" spans="1:7" x14ac:dyDescent="0.25">
      <c r="A10" s="13" t="s">
        <v>188</v>
      </c>
    </row>
    <row r="11" spans="1:7" x14ac:dyDescent="0.25">
      <c r="A11" s="4" t="s">
        <v>4</v>
      </c>
      <c r="B11" s="10">
        <f>SUMIF(Einzelkostenliste!$C$5:$C$54,"Simon Blasen",Einzelkostenliste!$K$5:$K$54)</f>
        <v>72750</v>
      </c>
    </row>
    <row r="12" spans="1:7" x14ac:dyDescent="0.25">
      <c r="A12" s="4" t="s">
        <v>5</v>
      </c>
      <c r="B12" s="10">
        <f>SUMIF(Einzelkostenliste!$C$5:$C$54,"Marc Bendt",Einzelkostenliste!$K$5:$K$54)</f>
        <v>34467.140000000007</v>
      </c>
    </row>
    <row r="13" spans="1:7" x14ac:dyDescent="0.25">
      <c r="A13" s="4" t="s">
        <v>6</v>
      </c>
      <c r="B13" s="10">
        <f>SUMIF(Einzelkostenliste!$C$5:$C$54,"F. D. Agustina",Einzelkostenliste!$K$5:$K$54)</f>
        <v>6000</v>
      </c>
    </row>
    <row r="16" spans="1:7" x14ac:dyDescent="0.25">
      <c r="A16" s="14" t="s">
        <v>43</v>
      </c>
      <c r="B16" s="14" t="s">
        <v>189</v>
      </c>
      <c r="C16" s="14" t="s">
        <v>190</v>
      </c>
      <c r="D16" s="14" t="s">
        <v>191</v>
      </c>
      <c r="E16" s="14" t="s">
        <v>192</v>
      </c>
      <c r="F16" s="14" t="s">
        <v>193</v>
      </c>
    </row>
    <row r="17" spans="1:6" x14ac:dyDescent="0.25">
      <c r="A17" s="4" t="s">
        <v>194</v>
      </c>
      <c r="B17" s="10">
        <v>50220</v>
      </c>
      <c r="C17" s="10">
        <f>$B$11*B$6+$B$12*B$7+$B$13*B$8</f>
        <v>50925</v>
      </c>
      <c r="D17" s="10">
        <f t="shared" ref="D17:D22" si="0">MIN(B17,C17)</f>
        <v>50220</v>
      </c>
      <c r="E17" s="10">
        <f t="shared" ref="E17:E22" si="1">D17-B17</f>
        <v>0</v>
      </c>
      <c r="F17" s="16">
        <f t="shared" ref="F17:F23" si="2">IFERROR(E17/B17,0)</f>
        <v>0</v>
      </c>
    </row>
    <row r="18" spans="1:6" x14ac:dyDescent="0.25">
      <c r="A18" s="4" t="s">
        <v>195</v>
      </c>
      <c r="B18" s="10">
        <v>12600</v>
      </c>
      <c r="C18" s="10">
        <f>$B$11*D$6+$B$12*D$7+$B$13*D$8</f>
        <v>16977.642</v>
      </c>
      <c r="D18" s="10">
        <f t="shared" si="0"/>
        <v>12600</v>
      </c>
      <c r="E18" s="10">
        <f t="shared" si="1"/>
        <v>0</v>
      </c>
      <c r="F18" s="16">
        <f t="shared" si="2"/>
        <v>0</v>
      </c>
    </row>
    <row r="19" spans="1:6" x14ac:dyDescent="0.25">
      <c r="A19" s="4" t="s">
        <v>196</v>
      </c>
      <c r="B19" s="10">
        <v>7560</v>
      </c>
      <c r="C19" s="10">
        <f>$B$11*E$6+$B$12*E$7+$B$13*E$8</f>
        <v>5170.0710000000008</v>
      </c>
      <c r="D19" s="10">
        <f t="shared" si="0"/>
        <v>5170.0710000000008</v>
      </c>
      <c r="E19" s="10">
        <f t="shared" si="1"/>
        <v>-2389.9289999999992</v>
      </c>
      <c r="F19" s="16">
        <f t="shared" si="2"/>
        <v>-0.31612817460317449</v>
      </c>
    </row>
    <row r="20" spans="1:6" x14ac:dyDescent="0.25">
      <c r="A20" s="4" t="s">
        <v>197</v>
      </c>
      <c r="B20" s="10">
        <v>25200</v>
      </c>
      <c r="C20" s="10">
        <f>$B$11*F$6+$B$12*F$7+$B$13*F$8</f>
        <v>29231.927000000007</v>
      </c>
      <c r="D20" s="10">
        <f t="shared" si="0"/>
        <v>25200</v>
      </c>
      <c r="E20" s="10">
        <f t="shared" si="1"/>
        <v>0</v>
      </c>
      <c r="F20" s="16">
        <f t="shared" si="2"/>
        <v>0</v>
      </c>
    </row>
    <row r="21" spans="1:6" x14ac:dyDescent="0.25">
      <c r="A21" s="4" t="s">
        <v>198</v>
      </c>
      <c r="B21" s="10">
        <v>11880</v>
      </c>
      <c r="C21" s="10">
        <f>$B$11*C$6+$B$12*C$7+$B$13*C$8</f>
        <v>10912.5</v>
      </c>
      <c r="D21" s="10">
        <f t="shared" si="0"/>
        <v>10912.5</v>
      </c>
      <c r="E21" s="10">
        <f t="shared" si="1"/>
        <v>-967.5</v>
      </c>
      <c r="F21" s="16">
        <f t="shared" si="2"/>
        <v>-8.1439393939393936E-2</v>
      </c>
    </row>
    <row r="22" spans="1:6" x14ac:dyDescent="0.25">
      <c r="A22" s="4" t="s">
        <v>199</v>
      </c>
      <c r="B22" s="10">
        <v>21600</v>
      </c>
      <c r="C22" s="10">
        <f>SUMIF(Einzelkostenliste!$C$5:$C$54,"Lucas Mößner (Skybound 3D)",Einzelkostenliste!$K$5:$K$54)</f>
        <v>21975</v>
      </c>
      <c r="D22" s="10">
        <f t="shared" si="0"/>
        <v>21600</v>
      </c>
      <c r="E22" s="10">
        <f t="shared" si="1"/>
        <v>0</v>
      </c>
      <c r="F22" s="16">
        <f t="shared" si="2"/>
        <v>0</v>
      </c>
    </row>
    <row r="23" spans="1:6" x14ac:dyDescent="0.25">
      <c r="A23" s="13" t="s">
        <v>200</v>
      </c>
      <c r="B23" s="12">
        <f>SUM(B17:B22)</f>
        <v>129060</v>
      </c>
      <c r="C23" s="12">
        <f>SUM(C17:C22)</f>
        <v>135192.14000000001</v>
      </c>
      <c r="D23" s="12">
        <f>SUM(D17:D22)</f>
        <v>125702.571</v>
      </c>
      <c r="E23" s="12">
        <f>SUM(E17:E22)</f>
        <v>-3357.4289999999992</v>
      </c>
      <c r="F23" s="17">
        <f t="shared" si="2"/>
        <v>-2.6014481636448157E-2</v>
      </c>
    </row>
    <row r="25" spans="1:6" x14ac:dyDescent="0.25">
      <c r="A25" s="4" t="s">
        <v>201</v>
      </c>
      <c r="B25" s="10">
        <v>4391.1000000000004</v>
      </c>
      <c r="C25" s="10">
        <v>4391.1000000000004</v>
      </c>
      <c r="D25" s="10">
        <f>MIN(B25,C25,D23*0.075)</f>
        <v>4391.1000000000004</v>
      </c>
      <c r="E25" s="10">
        <f>D25-B25</f>
        <v>0</v>
      </c>
    </row>
    <row r="26" spans="1:6" x14ac:dyDescent="0.25">
      <c r="A26" s="4" t="s">
        <v>202</v>
      </c>
      <c r="B26" s="10">
        <v>2032.25</v>
      </c>
      <c r="C26" s="10">
        <v>2032.25</v>
      </c>
      <c r="D26" s="10">
        <v>2032.25</v>
      </c>
      <c r="E26" s="10">
        <f>D26-B26</f>
        <v>0</v>
      </c>
    </row>
    <row r="27" spans="1:6" x14ac:dyDescent="0.25">
      <c r="A27" s="13" t="s">
        <v>203</v>
      </c>
      <c r="B27" s="12">
        <f>SUM(B25:B26)</f>
        <v>6423.35</v>
      </c>
      <c r="C27" s="12">
        <f>SUM(C25:C26)</f>
        <v>6423.35</v>
      </c>
      <c r="D27" s="12">
        <f>SUM(D25:D26)</f>
        <v>6423.35</v>
      </c>
      <c r="E27" s="12">
        <f>SUM(E25:E26)</f>
        <v>0</v>
      </c>
    </row>
    <row r="29" spans="1:6" x14ac:dyDescent="0.25">
      <c r="A29" s="13" t="s">
        <v>204</v>
      </c>
      <c r="B29" s="12">
        <f>B23+B27</f>
        <v>135483.35</v>
      </c>
      <c r="C29" s="12">
        <f>C23+C27</f>
        <v>141615.49000000002</v>
      </c>
      <c r="D29" s="12">
        <f>D23+D27</f>
        <v>132125.921</v>
      </c>
      <c r="E29" s="12">
        <f>E23+E27</f>
        <v>-3357.4289999999992</v>
      </c>
      <c r="F29" s="17">
        <f>IFERROR(E29/B29,0)</f>
        <v>-2.4781118860730849E-2</v>
      </c>
    </row>
    <row r="31" spans="1:6" x14ac:dyDescent="0.25">
      <c r="A31" s="13" t="s">
        <v>205</v>
      </c>
      <c r="B31" s="10">
        <v>133451.1</v>
      </c>
      <c r="D31" s="18">
        <f>D23+D25</f>
        <v>130093.671</v>
      </c>
      <c r="E31" s="18">
        <f>D31-B31</f>
        <v>-3357.4290000000037</v>
      </c>
    </row>
    <row r="32" spans="1:6" x14ac:dyDescent="0.25">
      <c r="A32" s="2" t="s">
        <v>206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3" width="18" customWidth="1"/>
    <col min="4" max="4" width="16" customWidth="1"/>
    <col min="5" max="5" width="60" customWidth="1"/>
  </cols>
  <sheetData>
    <row r="1" spans="1:5" ht="16.5" x14ac:dyDescent="0.25">
      <c r="A1" s="1" t="s">
        <v>207</v>
      </c>
    </row>
    <row r="4" spans="1:5" x14ac:dyDescent="0.25">
      <c r="A4" s="3" t="s">
        <v>208</v>
      </c>
      <c r="B4" s="3" t="s">
        <v>209</v>
      </c>
      <c r="C4" s="3" t="s">
        <v>190</v>
      </c>
      <c r="D4" s="3" t="s">
        <v>192</v>
      </c>
      <c r="E4" s="3" t="s">
        <v>54</v>
      </c>
    </row>
    <row r="5" spans="1:5" x14ac:dyDescent="0.25">
      <c r="A5" s="4" t="s">
        <v>210</v>
      </c>
      <c r="B5" s="10">
        <v>67741.679999999993</v>
      </c>
      <c r="C5" s="10">
        <f>MIN(67741.68,Schlusskostenstand!D29*0.5)</f>
        <v>66062.960500000001</v>
      </c>
      <c r="D5" s="10">
        <f>C5-B5</f>
        <v>-1678.719499999992</v>
      </c>
      <c r="E5" s="2" t="s">
        <v>211</v>
      </c>
    </row>
    <row r="6" spans="1:5" x14ac:dyDescent="0.25">
      <c r="A6" s="4" t="s">
        <v>212</v>
      </c>
      <c r="B6" s="10">
        <v>54666.64</v>
      </c>
      <c r="C6" s="10">
        <v>54666.66</v>
      </c>
      <c r="D6" s="10">
        <f>C6-B6</f>
        <v>2.0000000004074536E-2</v>
      </c>
      <c r="E6" s="2" t="s">
        <v>213</v>
      </c>
    </row>
    <row r="7" spans="1:5" x14ac:dyDescent="0.25">
      <c r="A7" s="4" t="s">
        <v>214</v>
      </c>
      <c r="B7" s="10">
        <v>13075.03</v>
      </c>
      <c r="C7" s="10">
        <f>Schlusskostenstand!D29-C5-C6</f>
        <v>11396.300499999998</v>
      </c>
      <c r="D7" s="10">
        <f>C7-B7</f>
        <v>-1678.7295000000031</v>
      </c>
      <c r="E7" s="2" t="s">
        <v>215</v>
      </c>
    </row>
    <row r="8" spans="1:5" x14ac:dyDescent="0.25">
      <c r="A8" s="13" t="s">
        <v>216</v>
      </c>
      <c r="B8" s="12">
        <f>SUM(B5:B7)</f>
        <v>135483.35</v>
      </c>
      <c r="C8" s="12">
        <f>SUM(C5:C7)</f>
        <v>132125.921</v>
      </c>
      <c r="D8" s="12">
        <f>SUM(D5:D7)</f>
        <v>-3357.428999999991</v>
      </c>
    </row>
    <row r="9" spans="1:5" x14ac:dyDescent="0.25">
      <c r="A9" s="2" t="s">
        <v>217</v>
      </c>
      <c r="C9" s="18">
        <f>C8-Schlusskostenstand!D29</f>
        <v>0</v>
      </c>
      <c r="E9" s="2" t="s">
        <v>218</v>
      </c>
    </row>
    <row r="12" spans="1:5" x14ac:dyDescent="0.25">
      <c r="A12" s="13" t="s">
        <v>219</v>
      </c>
    </row>
    <row r="13" spans="1:5" x14ac:dyDescent="0.25">
      <c r="A13" s="4" t="s">
        <v>220</v>
      </c>
      <c r="B13" s="10">
        <v>33870.839999999997</v>
      </c>
      <c r="C13" s="2" t="s">
        <v>221</v>
      </c>
    </row>
    <row r="14" spans="1:5" x14ac:dyDescent="0.25">
      <c r="A14" s="4" t="s">
        <v>222</v>
      </c>
      <c r="B14" s="10">
        <v>27096.67</v>
      </c>
      <c r="C14" s="2"/>
    </row>
    <row r="15" spans="1:5" x14ac:dyDescent="0.25">
      <c r="A15" s="4" t="s">
        <v>223</v>
      </c>
      <c r="B15" s="10">
        <f>SUM(B13:B14)</f>
        <v>60967.509999999995</v>
      </c>
    </row>
    <row r="16" spans="1:5" x14ac:dyDescent="0.25">
      <c r="A16" s="13" t="s">
        <v>224</v>
      </c>
      <c r="B16" s="12">
        <f>C5-B15</f>
        <v>5095.4505000000063</v>
      </c>
      <c r="C16" s="2" t="s">
        <v>225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Quoten</vt:lpstr>
      <vt:lpstr>Einzelkostenliste</vt:lpstr>
      <vt:lpstr>Schlusskostenstand</vt:lpstr>
      <vt:lpstr>Schlussfinanzierung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Simon Blasen</cp:lastModifiedBy>
  <cp:revision>0</cp:revision>
  <dcterms:created xsi:type="dcterms:W3CDTF">2026-09-04T15:17:02Z</dcterms:created>
  <dcterms:modified xsi:type="dcterms:W3CDTF">2026-09-05T06:55:08Z</dcterms:modified>
  <dc:language>en-US</dc:language>
</cp:coreProperties>
</file>