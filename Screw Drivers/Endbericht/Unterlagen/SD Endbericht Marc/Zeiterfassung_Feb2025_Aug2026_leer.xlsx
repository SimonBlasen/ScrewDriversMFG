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2.xml" ContentType="application/vnd.openxmlformats-officedocument.spreadsheetml.comments+xml"/>
  <Override PartName="/xl/comments12.xml" ContentType="application/vnd.openxmlformats-officedocument.spreadsheetml.comments+xml"/>
  <Override PartName="/xl/drawings/vmlDrawing13.vml" ContentType="application/vnd.openxmlformats-officedocument.vmlDrawing"/>
  <Override PartName="/xl/drawings/vmlDrawing12.vml" ContentType="application/vnd.openxmlformats-officedocument.vmlDrawing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vmlDrawing7.vml" ContentType="application/vnd.openxmlformats-officedocument.vmlDrawing"/>
  <Override PartName="/xl/drawings/vmlDrawing19.vml" ContentType="application/vnd.openxmlformats-officedocument.vmlDrawing"/>
  <Override PartName="/xl/drawings/vmlDrawing5.vml" ContentType="application/vnd.openxmlformats-officedocument.vmlDrawing"/>
  <Override PartName="/xl/drawings/vmlDrawing20.vml" ContentType="application/vnd.openxmlformats-officedocument.vmlDrawing"/>
  <Override PartName="/xl/drawings/vmlDrawing18.vml" ContentType="application/vnd.openxmlformats-officedocument.vmlDrawing"/>
  <Override PartName="/xl/drawings/vmlDrawing4.vml" ContentType="application/vnd.openxmlformats-officedocument.vmlDrawing"/>
  <Override PartName="/xl/drawings/vmlDrawing17.vml" ContentType="application/vnd.openxmlformats-officedocument.vmlDrawing"/>
  <Override PartName="/xl/drawings/vmlDrawing3.vml" ContentType="application/vnd.openxmlformats-officedocument.vmlDrawing"/>
  <Override PartName="/xl/drawings/vmlDrawing16.vml" ContentType="application/vnd.openxmlformats-officedocument.vmlDrawing"/>
  <Override PartName="/xl/drawings/vmlDrawing2.vml" ContentType="application/vnd.openxmlformats-officedocument.vmlDrawing"/>
  <Override PartName="/xl/drawings/vmlDrawing15.vml" ContentType="application/vnd.openxmlformats-officedocument.vmlDrawing"/>
  <Override PartName="/xl/drawings/vmlDrawing1.vml" ContentType="application/vnd.openxmlformats-officedocument.vmlDrawing"/>
  <Override PartName="/xl/drawings/vmlDrawing14.vml" ContentType="application/vnd.openxmlformats-officedocument.vmlDrawing"/>
  <Override PartName="/xl/drawings/vmlDrawing6.vml" ContentType="application/vnd.openxmlformats-officedocument.vmlDrawing"/>
  <Override PartName="/xl/comments1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comments19.xml" ContentType="application/vnd.openxmlformats-officedocument.spreadsheetml.comments+xml"/>
  <Override PartName="/xl/comments9.xml" ContentType="application/vnd.openxmlformats-officedocument.spreadsheetml.comment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comments20.xml" ContentType="application/vnd.openxmlformats-officedocument.spreadsheetml.comments+xml"/>
  <Override PartName="/xl/comments18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13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Feb 2025" sheetId="2" state="visible" r:id="rId4"/>
    <sheet name="Mär 2025" sheetId="3" state="visible" r:id="rId5"/>
    <sheet name="Apr 2025" sheetId="4" state="visible" r:id="rId6"/>
    <sheet name="Mai 2025" sheetId="5" state="visible" r:id="rId7"/>
    <sheet name="Jun 2025" sheetId="6" state="visible" r:id="rId8"/>
    <sheet name="Jul 2025" sheetId="7" state="visible" r:id="rId9"/>
    <sheet name="Aug 2025" sheetId="8" state="visible" r:id="rId10"/>
    <sheet name="Sep 2025" sheetId="9" state="visible" r:id="rId11"/>
    <sheet name="Okt 2025" sheetId="10" state="visible" r:id="rId12"/>
    <sheet name="Nov 2025" sheetId="11" state="visible" r:id="rId13"/>
    <sheet name="Dez 2025" sheetId="12" state="visible" r:id="rId14"/>
    <sheet name="Jan 2026" sheetId="13" state="visible" r:id="rId15"/>
    <sheet name="Feb 2026" sheetId="14" state="visible" r:id="rId16"/>
    <sheet name="Mär 2026" sheetId="15" state="visible" r:id="rId17"/>
    <sheet name="Apr 2026" sheetId="16" state="visible" r:id="rId18"/>
    <sheet name="Mai 2026" sheetId="17" state="visible" r:id="rId19"/>
    <sheet name="Jun 2026" sheetId="18" state="visible" r:id="rId20"/>
    <sheet name="Jul 2026" sheetId="19" state="visible" r:id="rId21"/>
    <sheet name="Aug 2026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Annahme: 8 Stunden pro Werktag (Mo–Fr). Bitte an den eigenen Vertrag anpassen – gilt für alle Monatsblätter.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8" authorId="0">
      <text>
        <r>
          <rPr>
            <sz val="10"/>
            <rFont val="Arial"/>
            <family val="2"/>
          </rPr>
          <t xml:space="preserve">Eingetragene Ist-Stunden plus Soll-Stunden der Tage mit U/K/F/G.</t>
        </r>
      </text>
    </comment>
  </commentList>
</comments>
</file>

<file path=xl/sharedStrings.xml><?xml version="1.0" encoding="utf-8"?>
<sst xmlns="http://schemas.openxmlformats.org/spreadsheetml/2006/main" count="936" uniqueCount="85">
  <si>
    <t xml:space="preserve">Zeiterfassung – Übersicht Februar 2025 bis August 2026</t>
  </si>
  <si>
    <t xml:space="preserve">Einstellungen</t>
  </si>
  <si>
    <t xml:space="preserve">Soll-Arbeitszeit pro Arbeitstag (Std.)</t>
  </si>
  <si>
    <t xml:space="preserve">Legende</t>
  </si>
  <si>
    <t xml:space="preserve">Gelb hinterlegte Zellen mit blauer Schrift = Eingabefelder</t>
  </si>
  <si>
    <t xml:space="preserve">Weiße Zellen enthalten Formeln – bitte nicht überschreiben</t>
  </si>
  <si>
    <t xml:space="preserve">Monatsblätter: geleistete Stunden als Dezimalzahl in 'Ist-Std.' eintragen (Beispiel: 8,25 = 8 Std. 15 Min.)</t>
  </si>
  <si>
    <t xml:space="preserve">Spalte 'Art': leer = Arbeit, U = Urlaub, K = Krank, F = Feiertag, G = Gleittag</t>
  </si>
  <si>
    <t xml:space="preserve">Bei U / K / F / G wird automatisch die Soll-Zeit als Ist-Zeit gewertet – keine Eingabe nötig</t>
  </si>
  <si>
    <t xml:space="preserve">Gesetzliche Feiertage Baden-Württemberg sind in den Monatsblättern bereits mit 'F' eingetragen</t>
  </si>
  <si>
    <t xml:space="preserve">Monat</t>
  </si>
  <si>
    <t xml:space="preserve">Arbeitstage (Soll)</t>
  </si>
  <si>
    <t xml:space="preserve">Soll-Std.</t>
  </si>
  <si>
    <t xml:space="preserve">Ist-Std.</t>
  </si>
  <si>
    <t xml:space="preserve">Differenz</t>
  </si>
  <si>
    <t xml:space="preserve">Saldo kumuliert</t>
  </si>
  <si>
    <t xml:space="preserve">Urlaubstage</t>
  </si>
  <si>
    <t xml:space="preserve">Krankheitstage</t>
  </si>
  <si>
    <t xml:space="preserve">Februar 2025</t>
  </si>
  <si>
    <t xml:space="preserve">März 2025</t>
  </si>
  <si>
    <t xml:space="preserve">April 2025</t>
  </si>
  <si>
    <t xml:space="preserve">Mai 2025</t>
  </si>
  <si>
    <t xml:space="preserve">Juni 2025</t>
  </si>
  <si>
    <t xml:space="preserve">Juli 2025</t>
  </si>
  <si>
    <t xml:space="preserve">August 2025</t>
  </si>
  <si>
    <t xml:space="preserve">September 2025</t>
  </si>
  <si>
    <t xml:space="preserve">Oktober 2025</t>
  </si>
  <si>
    <t xml:space="preserve">November 2025</t>
  </si>
  <si>
    <t xml:space="preserve">Dezember 2025</t>
  </si>
  <si>
    <t xml:space="preserve">Januar 2026</t>
  </si>
  <si>
    <t xml:space="preserve">Februar 2026</t>
  </si>
  <si>
    <t xml:space="preserve">März 2026</t>
  </si>
  <si>
    <t xml:space="preserve">April 2026</t>
  </si>
  <si>
    <t xml:space="preserve">Mai 2026</t>
  </si>
  <si>
    <t xml:space="preserve">Juni 2026</t>
  </si>
  <si>
    <t xml:space="preserve">Juli 2026</t>
  </si>
  <si>
    <t xml:space="preserve">August 2026</t>
  </si>
  <si>
    <t xml:space="preserve">Gesamt</t>
  </si>
  <si>
    <t xml:space="preserve">Zeiterfassung Februar 2025</t>
  </si>
  <si>
    <t xml:space="preserve">Name:</t>
  </si>
  <si>
    <t xml:space="preserve">Gelb = Eingabe · Ist-Std. als Dezimalzahl (8,25 = 8 Std. 15 Min.) · Art: U Urlaub, K Krank, F Feiertag, G Gleittag</t>
  </si>
  <si>
    <t xml:space="preserve">Datum</t>
  </si>
  <si>
    <t xml:space="preserve">Tag</t>
  </si>
  <si>
    <t xml:space="preserve">Art</t>
  </si>
  <si>
    <t xml:space="preserve">Bemerkung</t>
  </si>
  <si>
    <t xml:space="preserve">Sa</t>
  </si>
  <si>
    <t xml:space="preserve">So</t>
  </si>
  <si>
    <t xml:space="preserve">Mo</t>
  </si>
  <si>
    <t xml:space="preserve">Di</t>
  </si>
  <si>
    <t xml:space="preserve">Mi</t>
  </si>
  <si>
    <t xml:space="preserve">Do</t>
  </si>
  <si>
    <t xml:space="preserve">Fr</t>
  </si>
  <si>
    <t xml:space="preserve">Summe</t>
  </si>
  <si>
    <t xml:space="preserve">Saldo kumuliert (Std.)</t>
  </si>
  <si>
    <t xml:space="preserve">Zeiterfassung März 2025</t>
  </si>
  <si>
    <t xml:space="preserve">Zeiterfassung April 2025</t>
  </si>
  <si>
    <t xml:space="preserve">F</t>
  </si>
  <si>
    <t xml:space="preserve">Feiertag BW: Karfreitag</t>
  </si>
  <si>
    <t xml:space="preserve">Feiertag BW: Ostermontag</t>
  </si>
  <si>
    <t xml:space="preserve">Zeiterfassung Mai 2025</t>
  </si>
  <si>
    <t xml:space="preserve">Feiertag BW: Tag der Arbeit</t>
  </si>
  <si>
    <t xml:space="preserve">Feiertag BW: Christi Himmelfahrt</t>
  </si>
  <si>
    <t xml:space="preserve">Zeiterfassung Juni 2025</t>
  </si>
  <si>
    <t xml:space="preserve">Feiertag BW: Pfingstmontag</t>
  </si>
  <si>
    <t xml:space="preserve">Feiertag BW: Fronleichnam</t>
  </si>
  <si>
    <t xml:space="preserve">Zeiterfassung Juli 2025</t>
  </si>
  <si>
    <t xml:space="preserve">Zeiterfassung August 2025</t>
  </si>
  <si>
    <t xml:space="preserve">Zeiterfassung September 2025</t>
  </si>
  <si>
    <t xml:space="preserve">Zeiterfassung Oktober 2025</t>
  </si>
  <si>
    <t xml:space="preserve">Feiertag BW: Tag der Deutschen Einheit</t>
  </si>
  <si>
    <t xml:space="preserve">Zeiterfassung November 2025</t>
  </si>
  <si>
    <t xml:space="preserve">Feiertag BW: Allerheiligen</t>
  </si>
  <si>
    <t xml:space="preserve">Zeiterfassung Dezember 2025</t>
  </si>
  <si>
    <t xml:space="preserve">Feiertag BW: 1. Weihnachtstag</t>
  </si>
  <si>
    <t xml:space="preserve">Feiertag BW: 2. Weihnachtstag</t>
  </si>
  <si>
    <t xml:space="preserve">Zeiterfassung Januar 2026</t>
  </si>
  <si>
    <t xml:space="preserve">Feiertag BW: Neujahr</t>
  </si>
  <si>
    <t xml:space="preserve">Feiertag BW: Heilige Drei Könige</t>
  </si>
  <si>
    <t xml:space="preserve">Zeiterfassung Februar 2026</t>
  </si>
  <si>
    <t xml:space="preserve">Zeiterfassung März 2026</t>
  </si>
  <si>
    <t xml:space="preserve">Zeiterfassung April 2026</t>
  </si>
  <si>
    <t xml:space="preserve">Zeiterfassung Mai 2026</t>
  </si>
  <si>
    <t xml:space="preserve">Zeiterfassung Juni 2026</t>
  </si>
  <si>
    <t xml:space="preserve">Zeiterfassung Juli 2026</t>
  </si>
  <si>
    <t xml:space="preserve">Zeiterfassung August 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</si>
</sst>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;\-0;\-"/>
    <numFmt numFmtId="167" formatCode="0.00;[RED]\-0.00;\-"/>
    <numFmt numFmtId="168" formatCode="dd\.mm\.yyyy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  <font>
      <i val="true"/>
      <sz val="9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D28" activeCellId="0" sqref="D2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5"/>
  </cols>
  <sheetData>
    <row r="1" customFormat="false" ht="18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  <c r="B4" s="3" t="n">
        <v>8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5" t="s">
        <v>9</v>
      </c>
    </row>
    <row r="15" customFormat="false" ht="30" hidden="false" customHeight="true" outlineLevel="0" collapsed="false">
      <c r="A15" s="6" t="s">
        <v>10</v>
      </c>
      <c r="B15" s="6" t="s">
        <v>11</v>
      </c>
      <c r="C15" s="6" t="s">
        <v>12</v>
      </c>
      <c r="D15" s="6" t="s">
        <v>13</v>
      </c>
      <c r="E15" s="6" t="s">
        <v>14</v>
      </c>
      <c r="F15" s="6" t="s">
        <v>15</v>
      </c>
      <c r="G15" s="6" t="s">
        <v>16</v>
      </c>
      <c r="H15" s="6" t="s">
        <v>17</v>
      </c>
    </row>
    <row r="16" customFormat="false" ht="15" hidden="false" customHeight="false" outlineLevel="0" collapsed="false">
      <c r="A16" s="7" t="s">
        <v>18</v>
      </c>
      <c r="B16" s="8" t="n">
        <f aca="false">'Feb 2025'!$B$39</f>
        <v>20</v>
      </c>
      <c r="C16" s="9" t="n">
        <f aca="false">'Feb 2025'!$E$38</f>
        <v>160</v>
      </c>
      <c r="D16" s="9" t="n">
        <f aca="false">'Feb 2025'!$D$38</f>
        <v>0</v>
      </c>
      <c r="E16" s="9" t="n">
        <f aca="false">'Feb 2025'!$F$38</f>
        <v>0</v>
      </c>
      <c r="F16" s="10" t="n">
        <f aca="false">E16</f>
        <v>0</v>
      </c>
      <c r="G16" s="8" t="n">
        <f aca="false">'Feb 2025'!$B$40</f>
        <v>0</v>
      </c>
      <c r="H16" s="8" t="n">
        <f aca="false">'Feb 2025'!$B$41</f>
        <v>0</v>
      </c>
    </row>
    <row r="17" customFormat="false" ht="15" hidden="false" customHeight="false" outlineLevel="0" collapsed="false">
      <c r="A17" s="7" t="s">
        <v>19</v>
      </c>
      <c r="B17" s="8" t="n">
        <f aca="false">'Mär 2025'!$B$39</f>
        <v>21</v>
      </c>
      <c r="C17" s="9" t="n">
        <f aca="false">'Mär 2025'!$E$38</f>
        <v>168</v>
      </c>
      <c r="D17" s="9" t="n">
        <f aca="false">'Mär 2025'!$D$38</f>
        <v>0</v>
      </c>
      <c r="E17" s="9" t="n">
        <f aca="false">'Mär 2025'!$F$38</f>
        <v>0</v>
      </c>
      <c r="F17" s="10" t="n">
        <f aca="false">F16+E17</f>
        <v>0</v>
      </c>
      <c r="G17" s="8" t="n">
        <f aca="false">'Mär 2025'!$B$40</f>
        <v>0</v>
      </c>
      <c r="H17" s="8" t="n">
        <f aca="false">'Mär 2025'!$B$41</f>
        <v>0</v>
      </c>
    </row>
    <row r="18" customFormat="false" ht="15" hidden="false" customHeight="false" outlineLevel="0" collapsed="false">
      <c r="A18" s="7" t="s">
        <v>20</v>
      </c>
      <c r="B18" s="8" t="n">
        <f aca="false">'Apr 2025'!$B$39</f>
        <v>22</v>
      </c>
      <c r="C18" s="9" t="n">
        <f aca="false">'Apr 2025'!$E$38</f>
        <v>176</v>
      </c>
      <c r="D18" s="9" t="n">
        <f aca="false">'Apr 2025'!$D$38</f>
        <v>16</v>
      </c>
      <c r="E18" s="9" t="n">
        <f aca="false">'Apr 2025'!$F$38</f>
        <v>0</v>
      </c>
      <c r="F18" s="10" t="n">
        <f aca="false">F17+E18</f>
        <v>0</v>
      </c>
      <c r="G18" s="8" t="n">
        <f aca="false">'Apr 2025'!$B$40</f>
        <v>0</v>
      </c>
      <c r="H18" s="8" t="n">
        <f aca="false">'Apr 2025'!$B$41</f>
        <v>0</v>
      </c>
    </row>
    <row r="19" customFormat="false" ht="15" hidden="false" customHeight="false" outlineLevel="0" collapsed="false">
      <c r="A19" s="7" t="s">
        <v>21</v>
      </c>
      <c r="B19" s="8" t="n">
        <f aca="false">'Mai 2025'!$B$39</f>
        <v>22</v>
      </c>
      <c r="C19" s="9" t="n">
        <f aca="false">'Mai 2025'!$E$38</f>
        <v>176</v>
      </c>
      <c r="D19" s="9" t="n">
        <f aca="false">'Mai 2025'!$D$38</f>
        <v>16</v>
      </c>
      <c r="E19" s="9" t="n">
        <f aca="false">'Mai 2025'!$F$38</f>
        <v>0</v>
      </c>
      <c r="F19" s="10" t="n">
        <f aca="false">F18+E19</f>
        <v>0</v>
      </c>
      <c r="G19" s="8" t="n">
        <f aca="false">'Mai 2025'!$B$40</f>
        <v>0</v>
      </c>
      <c r="H19" s="8" t="n">
        <f aca="false">'Mai 2025'!$B$41</f>
        <v>0</v>
      </c>
    </row>
    <row r="20" customFormat="false" ht="15" hidden="false" customHeight="false" outlineLevel="0" collapsed="false">
      <c r="A20" s="7" t="s">
        <v>22</v>
      </c>
      <c r="B20" s="8" t="n">
        <f aca="false">'Jun 2025'!$B$39</f>
        <v>21</v>
      </c>
      <c r="C20" s="9" t="n">
        <f aca="false">'Jun 2025'!$E$38</f>
        <v>168</v>
      </c>
      <c r="D20" s="9" t="n">
        <f aca="false">'Jun 2025'!$D$38</f>
        <v>16</v>
      </c>
      <c r="E20" s="9" t="n">
        <f aca="false">'Jun 2025'!$F$38</f>
        <v>0</v>
      </c>
      <c r="F20" s="10" t="n">
        <f aca="false">F19+E20</f>
        <v>0</v>
      </c>
      <c r="G20" s="8" t="n">
        <f aca="false">'Jun 2025'!$B$40</f>
        <v>0</v>
      </c>
      <c r="H20" s="8" t="n">
        <f aca="false">'Jun 2025'!$B$41</f>
        <v>0</v>
      </c>
    </row>
    <row r="21" customFormat="false" ht="15" hidden="false" customHeight="false" outlineLevel="0" collapsed="false">
      <c r="A21" s="7" t="s">
        <v>23</v>
      </c>
      <c r="B21" s="8" t="n">
        <f aca="false">'Jul 2025'!$B$39</f>
        <v>23</v>
      </c>
      <c r="C21" s="9" t="n">
        <f aca="false">'Jul 2025'!$E$38</f>
        <v>184</v>
      </c>
      <c r="D21" s="9" t="n">
        <f aca="false">'Jul 2025'!$D$38</f>
        <v>0</v>
      </c>
      <c r="E21" s="9" t="n">
        <f aca="false">'Jul 2025'!$F$38</f>
        <v>0</v>
      </c>
      <c r="F21" s="10" t="n">
        <f aca="false">F20+E21</f>
        <v>0</v>
      </c>
      <c r="G21" s="8" t="n">
        <f aca="false">'Jul 2025'!$B$40</f>
        <v>0</v>
      </c>
      <c r="H21" s="8" t="n">
        <f aca="false">'Jul 2025'!$B$41</f>
        <v>0</v>
      </c>
    </row>
    <row r="22" customFormat="false" ht="15" hidden="false" customHeight="false" outlineLevel="0" collapsed="false">
      <c r="A22" s="7" t="s">
        <v>24</v>
      </c>
      <c r="B22" s="8" t="n">
        <f aca="false">'Aug 2025'!$B$39</f>
        <v>21</v>
      </c>
      <c r="C22" s="9" t="n">
        <f aca="false">'Aug 2025'!$E$38</f>
        <v>168</v>
      </c>
      <c r="D22" s="9" t="n">
        <f aca="false">'Aug 2025'!$D$38</f>
        <v>0</v>
      </c>
      <c r="E22" s="9" t="n">
        <f aca="false">'Aug 2025'!$F$38</f>
        <v>0</v>
      </c>
      <c r="F22" s="10" t="n">
        <f aca="false">F21+E22</f>
        <v>0</v>
      </c>
      <c r="G22" s="8" t="n">
        <f aca="false">'Aug 2025'!$B$40</f>
        <v>0</v>
      </c>
      <c r="H22" s="8" t="n">
        <f aca="false">'Aug 2025'!$B$41</f>
        <v>0</v>
      </c>
    </row>
    <row r="23" customFormat="false" ht="15" hidden="false" customHeight="false" outlineLevel="0" collapsed="false">
      <c r="A23" s="7" t="s">
        <v>25</v>
      </c>
      <c r="B23" s="8" t="n">
        <f aca="false">'Sep 2025'!$B$39</f>
        <v>22</v>
      </c>
      <c r="C23" s="9" t="n">
        <f aca="false">'Sep 2025'!$E$38</f>
        <v>176</v>
      </c>
      <c r="D23" s="9" t="n">
        <f aca="false">'Sep 2025'!$D$38</f>
        <v>0</v>
      </c>
      <c r="E23" s="9" t="n">
        <f aca="false">'Sep 2025'!$F$38</f>
        <v>0</v>
      </c>
      <c r="F23" s="10" t="n">
        <f aca="false">F22+E23</f>
        <v>0</v>
      </c>
      <c r="G23" s="8" t="n">
        <f aca="false">'Sep 2025'!$B$40</f>
        <v>0</v>
      </c>
      <c r="H23" s="8" t="n">
        <f aca="false">'Sep 2025'!$B$41</f>
        <v>0</v>
      </c>
    </row>
    <row r="24" customFormat="false" ht="15" hidden="false" customHeight="false" outlineLevel="0" collapsed="false">
      <c r="A24" s="7" t="s">
        <v>26</v>
      </c>
      <c r="B24" s="8" t="n">
        <f aca="false">'Okt 2025'!$B$39</f>
        <v>23</v>
      </c>
      <c r="C24" s="9" t="n">
        <f aca="false">'Okt 2025'!$E$38</f>
        <v>184</v>
      </c>
      <c r="D24" s="9" t="n">
        <f aca="false">'Okt 2025'!$D$38</f>
        <v>8</v>
      </c>
      <c r="E24" s="9" t="n">
        <f aca="false">'Okt 2025'!$F$38</f>
        <v>0</v>
      </c>
      <c r="F24" s="10" t="n">
        <f aca="false">F23+E24</f>
        <v>0</v>
      </c>
      <c r="G24" s="8" t="n">
        <f aca="false">'Okt 2025'!$B$40</f>
        <v>0</v>
      </c>
      <c r="H24" s="8" t="n">
        <f aca="false">'Okt 2025'!$B$41</f>
        <v>0</v>
      </c>
    </row>
    <row r="25" customFormat="false" ht="15" hidden="false" customHeight="false" outlineLevel="0" collapsed="false">
      <c r="A25" s="7" t="s">
        <v>27</v>
      </c>
      <c r="B25" s="8" t="n">
        <f aca="false">'Nov 2025'!$B$39</f>
        <v>20</v>
      </c>
      <c r="C25" s="9" t="n">
        <f aca="false">'Nov 2025'!$E$38</f>
        <v>160</v>
      </c>
      <c r="D25" s="9" t="n">
        <f aca="false">'Nov 2025'!$D$38</f>
        <v>0</v>
      </c>
      <c r="E25" s="9" t="n">
        <f aca="false">'Nov 2025'!$F$38</f>
        <v>0</v>
      </c>
      <c r="F25" s="10" t="n">
        <f aca="false">F24+E25</f>
        <v>0</v>
      </c>
      <c r="G25" s="8" t="n">
        <f aca="false">'Nov 2025'!$B$40</f>
        <v>0</v>
      </c>
      <c r="H25" s="8" t="n">
        <f aca="false">'Nov 2025'!$B$41</f>
        <v>0</v>
      </c>
    </row>
    <row r="26" customFormat="false" ht="15" hidden="false" customHeight="false" outlineLevel="0" collapsed="false">
      <c r="A26" s="7" t="s">
        <v>28</v>
      </c>
      <c r="B26" s="8" t="n">
        <f aca="false">'Dez 2025'!$B$39</f>
        <v>23</v>
      </c>
      <c r="C26" s="9" t="n">
        <f aca="false">'Dez 2025'!$E$38</f>
        <v>184</v>
      </c>
      <c r="D26" s="9" t="n">
        <f aca="false">'Dez 2025'!$D$38</f>
        <v>16</v>
      </c>
      <c r="E26" s="9" t="n">
        <f aca="false">'Dez 2025'!$F$38</f>
        <v>0</v>
      </c>
      <c r="F26" s="10" t="n">
        <f aca="false">F25+E26</f>
        <v>0</v>
      </c>
      <c r="G26" s="8" t="n">
        <f aca="false">'Dez 2025'!$B$40</f>
        <v>0</v>
      </c>
      <c r="H26" s="8" t="n">
        <f aca="false">'Dez 2025'!$B$41</f>
        <v>0</v>
      </c>
    </row>
    <row r="27" customFormat="false" ht="15" hidden="false" customHeight="false" outlineLevel="0" collapsed="false">
      <c r="A27" s="7" t="s">
        <v>29</v>
      </c>
      <c r="B27" s="8" t="n">
        <f aca="false">'Jan 2026'!$B$39</f>
        <v>22</v>
      </c>
      <c r="C27" s="9" t="n">
        <f aca="false">'Jan 2026'!$E$38</f>
        <v>176</v>
      </c>
      <c r="D27" s="9" t="n">
        <f aca="false">'Jan 2026'!$D$38</f>
        <v>16</v>
      </c>
      <c r="E27" s="9" t="n">
        <f aca="false">'Jan 2026'!$F$38</f>
        <v>0</v>
      </c>
      <c r="F27" s="10" t="n">
        <f aca="false">F26+E27</f>
        <v>0</v>
      </c>
      <c r="G27" s="8" t="n">
        <f aca="false">'Jan 2026'!$B$40</f>
        <v>0</v>
      </c>
      <c r="H27" s="8" t="n">
        <f aca="false">'Jan 2026'!$B$41</f>
        <v>0</v>
      </c>
    </row>
    <row r="28" customFormat="false" ht="15" hidden="false" customHeight="false" outlineLevel="0" collapsed="false">
      <c r="A28" s="7" t="s">
        <v>30</v>
      </c>
      <c r="B28" s="8" t="n">
        <f aca="false">'Feb 2026'!$B$39</f>
        <v>20</v>
      </c>
      <c r="C28" s="9" t="n">
        <f aca="false">'Feb 2026'!$E$38</f>
        <v>160</v>
      </c>
      <c r="D28" s="9" t="n">
        <f aca="false">'Feb 2026'!$D$38</f>
        <v>0</v>
      </c>
      <c r="E28" s="9" t="n">
        <f aca="false">'Feb 2026'!$F$38</f>
        <v>0</v>
      </c>
      <c r="F28" s="10" t="n">
        <f aca="false">F27+E28</f>
        <v>0</v>
      </c>
      <c r="G28" s="8" t="n">
        <f aca="false">'Feb 2026'!$B$40</f>
        <v>0</v>
      </c>
      <c r="H28" s="8" t="n">
        <f aca="false">'Feb 2026'!$B$41</f>
        <v>0</v>
      </c>
    </row>
    <row r="29" customFormat="false" ht="15" hidden="false" customHeight="false" outlineLevel="0" collapsed="false">
      <c r="A29" s="7" t="s">
        <v>31</v>
      </c>
      <c r="B29" s="8" t="n">
        <f aca="false">'Mär 2026'!$B$39</f>
        <v>22</v>
      </c>
      <c r="C29" s="9" t="n">
        <f aca="false">'Mär 2026'!$E$38</f>
        <v>176</v>
      </c>
      <c r="D29" s="9" t="n">
        <f aca="false">'Mär 2026'!$D$38</f>
        <v>0</v>
      </c>
      <c r="E29" s="9" t="n">
        <f aca="false">'Mär 2026'!$F$38</f>
        <v>0</v>
      </c>
      <c r="F29" s="10" t="n">
        <f aca="false">F28+E29</f>
        <v>0</v>
      </c>
      <c r="G29" s="8" t="n">
        <f aca="false">'Mär 2026'!$B$40</f>
        <v>0</v>
      </c>
      <c r="H29" s="8" t="n">
        <f aca="false">'Mär 2026'!$B$41</f>
        <v>0</v>
      </c>
    </row>
    <row r="30" customFormat="false" ht="15" hidden="false" customHeight="false" outlineLevel="0" collapsed="false">
      <c r="A30" s="7" t="s">
        <v>32</v>
      </c>
      <c r="B30" s="8" t="n">
        <f aca="false">'Apr 2026'!$B$39</f>
        <v>22</v>
      </c>
      <c r="C30" s="9" t="n">
        <f aca="false">'Apr 2026'!$E$38</f>
        <v>176</v>
      </c>
      <c r="D30" s="9" t="n">
        <f aca="false">'Apr 2026'!$D$38</f>
        <v>16</v>
      </c>
      <c r="E30" s="9" t="n">
        <f aca="false">'Apr 2026'!$F$38</f>
        <v>0</v>
      </c>
      <c r="F30" s="10" t="n">
        <f aca="false">F29+E30</f>
        <v>0</v>
      </c>
      <c r="G30" s="8" t="n">
        <f aca="false">'Apr 2026'!$B$40</f>
        <v>0</v>
      </c>
      <c r="H30" s="8" t="n">
        <f aca="false">'Apr 2026'!$B$41</f>
        <v>0</v>
      </c>
    </row>
    <row r="31" customFormat="false" ht="15" hidden="false" customHeight="false" outlineLevel="0" collapsed="false">
      <c r="A31" s="7" t="s">
        <v>33</v>
      </c>
      <c r="B31" s="8" t="n">
        <f aca="false">'Mai 2026'!$B$39</f>
        <v>21</v>
      </c>
      <c r="C31" s="9" t="n">
        <f aca="false">'Mai 2026'!$E$38</f>
        <v>168</v>
      </c>
      <c r="D31" s="9" t="n">
        <f aca="false">'Mai 2026'!$D$38</f>
        <v>24</v>
      </c>
      <c r="E31" s="9" t="n">
        <f aca="false">'Mai 2026'!$F$38</f>
        <v>0</v>
      </c>
      <c r="F31" s="10" t="n">
        <f aca="false">F30+E31</f>
        <v>0</v>
      </c>
      <c r="G31" s="8" t="n">
        <f aca="false">'Mai 2026'!$B$40</f>
        <v>0</v>
      </c>
      <c r="H31" s="8" t="n">
        <f aca="false">'Mai 2026'!$B$41</f>
        <v>0</v>
      </c>
    </row>
    <row r="32" customFormat="false" ht="15" hidden="false" customHeight="false" outlineLevel="0" collapsed="false">
      <c r="A32" s="7" t="s">
        <v>34</v>
      </c>
      <c r="B32" s="8" t="n">
        <f aca="false">'Jun 2026'!$B$39</f>
        <v>22</v>
      </c>
      <c r="C32" s="9" t="n">
        <f aca="false">'Jun 2026'!$E$38</f>
        <v>176</v>
      </c>
      <c r="D32" s="9" t="n">
        <f aca="false">'Jun 2026'!$D$38</f>
        <v>8</v>
      </c>
      <c r="E32" s="9" t="n">
        <f aca="false">'Jun 2026'!$F$38</f>
        <v>0</v>
      </c>
      <c r="F32" s="10" t="n">
        <f aca="false">F31+E32</f>
        <v>0</v>
      </c>
      <c r="G32" s="8" t="n">
        <f aca="false">'Jun 2026'!$B$40</f>
        <v>0</v>
      </c>
      <c r="H32" s="8" t="n">
        <f aca="false">'Jun 2026'!$B$41</f>
        <v>0</v>
      </c>
    </row>
    <row r="33" customFormat="false" ht="15" hidden="false" customHeight="false" outlineLevel="0" collapsed="false">
      <c r="A33" s="7" t="s">
        <v>35</v>
      </c>
      <c r="B33" s="8" t="n">
        <f aca="false">'Jul 2026'!$B$39</f>
        <v>23</v>
      </c>
      <c r="C33" s="9" t="n">
        <f aca="false">'Jul 2026'!$E$38</f>
        <v>184</v>
      </c>
      <c r="D33" s="9" t="n">
        <f aca="false">'Jul 2026'!$D$38</f>
        <v>0</v>
      </c>
      <c r="E33" s="9" t="n">
        <f aca="false">'Jul 2026'!$F$38</f>
        <v>0</v>
      </c>
      <c r="F33" s="10" t="n">
        <f aca="false">F32+E33</f>
        <v>0</v>
      </c>
      <c r="G33" s="8" t="n">
        <f aca="false">'Jul 2026'!$B$40</f>
        <v>0</v>
      </c>
      <c r="H33" s="8" t="n">
        <f aca="false">'Jul 2026'!$B$41</f>
        <v>0</v>
      </c>
    </row>
    <row r="34" customFormat="false" ht="15" hidden="false" customHeight="false" outlineLevel="0" collapsed="false">
      <c r="A34" s="7" t="s">
        <v>36</v>
      </c>
      <c r="B34" s="8" t="n">
        <f aca="false">'Aug 2026'!$B$39</f>
        <v>21</v>
      </c>
      <c r="C34" s="9" t="n">
        <f aca="false">'Aug 2026'!$E$38</f>
        <v>168</v>
      </c>
      <c r="D34" s="9" t="n">
        <f aca="false">'Aug 2026'!$D$38</f>
        <v>0</v>
      </c>
      <c r="E34" s="9" t="n">
        <f aca="false">'Aug 2026'!$F$38</f>
        <v>0</v>
      </c>
      <c r="F34" s="10" t="n">
        <f aca="false">F33+E34</f>
        <v>0</v>
      </c>
      <c r="G34" s="8" t="n">
        <f aca="false">'Aug 2026'!$B$40</f>
        <v>0</v>
      </c>
      <c r="H34" s="8" t="n">
        <f aca="false">'Aug 2026'!$B$41</f>
        <v>0</v>
      </c>
    </row>
    <row r="35" customFormat="false" ht="15" hidden="false" customHeight="false" outlineLevel="0" collapsed="false">
      <c r="A35" s="11" t="s">
        <v>37</v>
      </c>
      <c r="B35" s="11" t="n">
        <f aca="false">SUM(B16:B34)</f>
        <v>411</v>
      </c>
      <c r="C35" s="12" t="n">
        <f aca="false">SUM(C16:C34)</f>
        <v>3288</v>
      </c>
      <c r="D35" s="12" t="n">
        <f aca="false">SUM(D16:D34)</f>
        <v>136</v>
      </c>
      <c r="E35" s="12" t="n">
        <f aca="false">SUM(E16:E34)</f>
        <v>0</v>
      </c>
      <c r="F35" s="12" t="n">
        <f aca="false">F34</f>
        <v>0</v>
      </c>
      <c r="G35" s="11" t="n">
        <f aca="false">SUM(G16:G34)</f>
        <v>0</v>
      </c>
      <c r="H35" s="11" t="n">
        <f aca="false">SUM(H16:H34)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2" activeCellId="0" sqref="B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16" t="n">
        <v>45689</v>
      </c>
      <c r="B6" s="17" t="s">
        <v>45</v>
      </c>
      <c r="C6" s="18"/>
      <c r="D6" s="19"/>
      <c r="E6" s="20" t="n">
        <f aca="false">IF(WEEKDAY(A6,2)&lt;=5,Übersicht!$B$4,0)</f>
        <v>0</v>
      </c>
      <c r="F6" s="20" t="str">
        <f aca="false">IF(OR(C6="U",C6="K",C6="F",C6="G"),IF(D6="",0,D6),IF(D6="","",D6-E6))</f>
        <v/>
      </c>
      <c r="G6" s="21"/>
    </row>
    <row r="7" customFormat="false" ht="15" hidden="false" customHeight="false" outlineLevel="0" collapsed="false">
      <c r="A7" s="16" t="n">
        <v>45690</v>
      </c>
      <c r="B7" s="17" t="s">
        <v>46</v>
      </c>
      <c r="C7" s="18"/>
      <c r="D7" s="19"/>
      <c r="E7" s="20" t="n">
        <f aca="false">IF(WEEKDAY(A7,2)&lt;=5,Übersicht!$B$4,0)</f>
        <v>0</v>
      </c>
      <c r="F7" s="20" t="str">
        <f aca="false">IF(OR(C7="U",C7="K",C7="F",C7="G"),IF(D7="",0,D7),IF(D7="","",D7-E7))</f>
        <v/>
      </c>
      <c r="G7" s="21"/>
    </row>
    <row r="8" customFormat="false" ht="15" hidden="false" customHeight="false" outlineLevel="0" collapsed="false">
      <c r="A8" s="22" t="n">
        <v>45691</v>
      </c>
      <c r="B8" s="23" t="s">
        <v>47</v>
      </c>
      <c r="C8" s="24"/>
      <c r="D8" s="25"/>
      <c r="E8" s="10" t="n">
        <f aca="false">IF(WEEKDAY(A8,2)&lt;=5,Übersicht!$B$4,0)</f>
        <v>8</v>
      </c>
      <c r="F8" s="10" t="str">
        <f aca="false">IF(OR(C8="U",C8="K",C8="F",C8="G"),IF(D8="",0,D8),IF(D8="","",D8-E8))</f>
        <v/>
      </c>
      <c r="G8" s="26"/>
    </row>
    <row r="9" customFormat="false" ht="15" hidden="false" customHeight="false" outlineLevel="0" collapsed="false">
      <c r="A9" s="22" t="n">
        <v>45692</v>
      </c>
      <c r="B9" s="23" t="s">
        <v>48</v>
      </c>
      <c r="C9" s="24"/>
      <c r="D9" s="25"/>
      <c r="E9" s="10" t="n">
        <f aca="false">IF(WEEKDAY(A9,2)&lt;=5,Übersicht!$B$4,0)</f>
        <v>8</v>
      </c>
      <c r="F9" s="10" t="str">
        <f aca="false">IF(OR(C9="U",C9="K",C9="F",C9="G"),IF(D9="",0,D9),IF(D9="","",D9-E9))</f>
        <v/>
      </c>
      <c r="G9" s="26"/>
    </row>
    <row r="10" customFormat="false" ht="15" hidden="false" customHeight="false" outlineLevel="0" collapsed="false">
      <c r="A10" s="22" t="n">
        <v>45693</v>
      </c>
      <c r="B10" s="23" t="s">
        <v>49</v>
      </c>
      <c r="C10" s="24"/>
      <c r="D10" s="25"/>
      <c r="E10" s="10" t="n">
        <f aca="false">IF(WEEKDAY(A10,2)&lt;=5,Übersicht!$B$4,0)</f>
        <v>8</v>
      </c>
      <c r="F10" s="10" t="str">
        <f aca="false">IF(OR(C10="U",C10="K",C10="F",C10="G"),IF(D10="",0,D10),IF(D10="","",D10-E10))</f>
        <v/>
      </c>
      <c r="G10" s="26"/>
    </row>
    <row r="11" customFormat="false" ht="15" hidden="false" customHeight="false" outlineLevel="0" collapsed="false">
      <c r="A11" s="22" t="n">
        <v>45694</v>
      </c>
      <c r="B11" s="23" t="s">
        <v>50</v>
      </c>
      <c r="C11" s="24"/>
      <c r="D11" s="25"/>
      <c r="E11" s="10" t="n">
        <f aca="false">IF(WEEKDAY(A11,2)&lt;=5,Übersicht!$B$4,0)</f>
        <v>8</v>
      </c>
      <c r="F11" s="10" t="str">
        <f aca="false">IF(OR(C11="U",C11="K",C11="F",C11="G"),IF(D11="",0,D11),IF(D11="","",D11-E11))</f>
        <v/>
      </c>
      <c r="G11" s="26"/>
    </row>
    <row r="12" customFormat="false" ht="15" hidden="false" customHeight="false" outlineLevel="0" collapsed="false">
      <c r="A12" s="22" t="n">
        <v>45695</v>
      </c>
      <c r="B12" s="23" t="s">
        <v>51</v>
      </c>
      <c r="C12" s="24"/>
      <c r="D12" s="25"/>
      <c r="E12" s="10" t="n">
        <f aca="false">IF(WEEKDAY(A12,2)&lt;=5,Übersicht!$B$4,0)</f>
        <v>8</v>
      </c>
      <c r="F12" s="10" t="str">
        <f aca="false">IF(OR(C12="U",C12="K",C12="F",C12="G"),IF(D12="",0,D12),IF(D12="","",D12-E12))</f>
        <v/>
      </c>
      <c r="G12" s="26"/>
    </row>
    <row r="13" customFormat="false" ht="15" hidden="false" customHeight="false" outlineLevel="0" collapsed="false">
      <c r="A13" s="16" t="n">
        <v>45696</v>
      </c>
      <c r="B13" s="17" t="s">
        <v>45</v>
      </c>
      <c r="C13" s="18"/>
      <c r="D13" s="19"/>
      <c r="E13" s="20" t="n">
        <f aca="false">IF(WEEKDAY(A13,2)&lt;=5,Übersicht!$B$4,0)</f>
        <v>0</v>
      </c>
      <c r="F13" s="20" t="str">
        <f aca="false">IF(OR(C13="U",C13="K",C13="F",C13="G"),IF(D13="",0,D13),IF(D13="","",D13-E13))</f>
        <v/>
      </c>
      <c r="G13" s="21"/>
    </row>
    <row r="14" customFormat="false" ht="15" hidden="false" customHeight="false" outlineLevel="0" collapsed="false">
      <c r="A14" s="16" t="n">
        <v>45697</v>
      </c>
      <c r="B14" s="17" t="s">
        <v>46</v>
      </c>
      <c r="C14" s="18"/>
      <c r="D14" s="19"/>
      <c r="E14" s="20" t="n">
        <f aca="false">IF(WEEKDAY(A14,2)&lt;=5,Übersicht!$B$4,0)</f>
        <v>0</v>
      </c>
      <c r="F14" s="20" t="str">
        <f aca="false">IF(OR(C14="U",C14="K",C14="F",C14="G"),IF(D14="",0,D14),IF(D14="","",D14-E14))</f>
        <v/>
      </c>
      <c r="G14" s="21"/>
    </row>
    <row r="15" customFormat="false" ht="15" hidden="false" customHeight="false" outlineLevel="0" collapsed="false">
      <c r="A15" s="22" t="n">
        <v>45698</v>
      </c>
      <c r="B15" s="23" t="s">
        <v>47</v>
      </c>
      <c r="C15" s="24"/>
      <c r="D15" s="25"/>
      <c r="E15" s="10" t="n">
        <f aca="false">IF(WEEKDAY(A15,2)&lt;=5,Übersicht!$B$4,0)</f>
        <v>8</v>
      </c>
      <c r="F15" s="10" t="str">
        <f aca="false">IF(OR(C15="U",C15="K",C15="F",C15="G"),IF(D15="",0,D15),IF(D15="","",D15-E15))</f>
        <v/>
      </c>
      <c r="G15" s="26"/>
    </row>
    <row r="16" customFormat="false" ht="15" hidden="false" customHeight="false" outlineLevel="0" collapsed="false">
      <c r="A16" s="22" t="n">
        <v>45699</v>
      </c>
      <c r="B16" s="23" t="s">
        <v>48</v>
      </c>
      <c r="C16" s="24"/>
      <c r="D16" s="25"/>
      <c r="E16" s="10" t="n">
        <f aca="false">IF(WEEKDAY(A16,2)&lt;=5,Übersicht!$B$4,0)</f>
        <v>8</v>
      </c>
      <c r="F16" s="10" t="str">
        <f aca="false">IF(OR(C16="U",C16="K",C16="F",C16="G"),IF(D16="",0,D16),IF(D16="","",D16-E16))</f>
        <v/>
      </c>
      <c r="G16" s="26"/>
    </row>
    <row r="17" customFormat="false" ht="15" hidden="false" customHeight="false" outlineLevel="0" collapsed="false">
      <c r="A17" s="22" t="n">
        <v>45700</v>
      </c>
      <c r="B17" s="23" t="s">
        <v>49</v>
      </c>
      <c r="C17" s="24"/>
      <c r="D17" s="25"/>
      <c r="E17" s="10" t="n">
        <f aca="false">IF(WEEKDAY(A17,2)&lt;=5,Übersicht!$B$4,0)</f>
        <v>8</v>
      </c>
      <c r="F17" s="10" t="str">
        <f aca="false">IF(OR(C17="U",C17="K",C17="F",C17="G"),IF(D17="",0,D17),IF(D17="","",D17-E17))</f>
        <v/>
      </c>
      <c r="G17" s="26"/>
    </row>
    <row r="18" customFormat="false" ht="15" hidden="false" customHeight="false" outlineLevel="0" collapsed="false">
      <c r="A18" s="22" t="n">
        <v>45701</v>
      </c>
      <c r="B18" s="23" t="s">
        <v>50</v>
      </c>
      <c r="C18" s="24"/>
      <c r="D18" s="25"/>
      <c r="E18" s="10" t="n">
        <f aca="false">IF(WEEKDAY(A18,2)&lt;=5,Übersicht!$B$4,0)</f>
        <v>8</v>
      </c>
      <c r="F18" s="10" t="str">
        <f aca="false">IF(OR(C18="U",C18="K",C18="F",C18="G"),IF(D18="",0,D18),IF(D18="","",D18-E18))</f>
        <v/>
      </c>
      <c r="G18" s="26"/>
    </row>
    <row r="19" customFormat="false" ht="15" hidden="false" customHeight="false" outlineLevel="0" collapsed="false">
      <c r="A19" s="22" t="n">
        <v>45702</v>
      </c>
      <c r="B19" s="23" t="s">
        <v>51</v>
      </c>
      <c r="C19" s="24"/>
      <c r="D19" s="25"/>
      <c r="E19" s="10" t="n">
        <f aca="false">IF(WEEKDAY(A19,2)&lt;=5,Übersicht!$B$4,0)</f>
        <v>8</v>
      </c>
      <c r="F19" s="10" t="str">
        <f aca="false">IF(OR(C19="U",C19="K",C19="F",C19="G"),IF(D19="",0,D19),IF(D19="","",D19-E19))</f>
        <v/>
      </c>
      <c r="G19" s="26"/>
    </row>
    <row r="20" customFormat="false" ht="15" hidden="false" customHeight="false" outlineLevel="0" collapsed="false">
      <c r="A20" s="16" t="n">
        <v>45703</v>
      </c>
      <c r="B20" s="17" t="s">
        <v>45</v>
      </c>
      <c r="C20" s="18"/>
      <c r="D20" s="19"/>
      <c r="E20" s="20" t="n">
        <f aca="false">IF(WEEKDAY(A20,2)&lt;=5,Übersicht!$B$4,0)</f>
        <v>0</v>
      </c>
      <c r="F20" s="20" t="str">
        <f aca="false">IF(OR(C20="U",C20="K",C20="F",C20="G"),IF(D20="",0,D20),IF(D20="","",D20-E20))</f>
        <v/>
      </c>
      <c r="G20" s="21"/>
    </row>
    <row r="21" customFormat="false" ht="15" hidden="false" customHeight="false" outlineLevel="0" collapsed="false">
      <c r="A21" s="16" t="n">
        <v>45704</v>
      </c>
      <c r="B21" s="17" t="s">
        <v>46</v>
      </c>
      <c r="C21" s="18"/>
      <c r="D21" s="19"/>
      <c r="E21" s="20" t="n">
        <f aca="false">IF(WEEKDAY(A21,2)&lt;=5,Übersicht!$B$4,0)</f>
        <v>0</v>
      </c>
      <c r="F21" s="20" t="str">
        <f aca="false">IF(OR(C21="U",C21="K",C21="F",C21="G"),IF(D21="",0,D21),IF(D21="","",D21-E21))</f>
        <v/>
      </c>
      <c r="G21" s="21"/>
    </row>
    <row r="22" customFormat="false" ht="15" hidden="false" customHeight="false" outlineLevel="0" collapsed="false">
      <c r="A22" s="22" t="n">
        <v>45705</v>
      </c>
      <c r="B22" s="23" t="s">
        <v>47</v>
      </c>
      <c r="C22" s="24"/>
      <c r="D22" s="25"/>
      <c r="E22" s="10" t="n">
        <f aca="false">IF(WEEKDAY(A22,2)&lt;=5,Übersicht!$B$4,0)</f>
        <v>8</v>
      </c>
      <c r="F22" s="10" t="str">
        <f aca="false">IF(OR(C22="U",C22="K",C22="F",C22="G"),IF(D22="",0,D22),IF(D22="","",D22-E22))</f>
        <v/>
      </c>
      <c r="G22" s="26"/>
    </row>
    <row r="23" customFormat="false" ht="15" hidden="false" customHeight="false" outlineLevel="0" collapsed="false">
      <c r="A23" s="22" t="n">
        <v>45706</v>
      </c>
      <c r="B23" s="23" t="s">
        <v>48</v>
      </c>
      <c r="C23" s="24"/>
      <c r="D23" s="25"/>
      <c r="E23" s="10" t="n">
        <f aca="false">IF(WEEKDAY(A23,2)&lt;=5,Übersicht!$B$4,0)</f>
        <v>8</v>
      </c>
      <c r="F23" s="10" t="str">
        <f aca="false">IF(OR(C23="U",C23="K",C23="F",C23="G"),IF(D23="",0,D23),IF(D23="","",D23-E23))</f>
        <v/>
      </c>
      <c r="G23" s="26"/>
    </row>
    <row r="24" customFormat="false" ht="15" hidden="false" customHeight="false" outlineLevel="0" collapsed="false">
      <c r="A24" s="22" t="n">
        <v>45707</v>
      </c>
      <c r="B24" s="23" t="s">
        <v>49</v>
      </c>
      <c r="C24" s="24"/>
      <c r="D24" s="25"/>
      <c r="E24" s="10" t="n">
        <f aca="false">IF(WEEKDAY(A24,2)&lt;=5,Übersicht!$B$4,0)</f>
        <v>8</v>
      </c>
      <c r="F24" s="10" t="str">
        <f aca="false">IF(OR(C24="U",C24="K",C24="F",C24="G"),IF(D24="",0,D24),IF(D24="","",D24-E24))</f>
        <v/>
      </c>
      <c r="G24" s="26"/>
    </row>
    <row r="25" customFormat="false" ht="15" hidden="false" customHeight="false" outlineLevel="0" collapsed="false">
      <c r="A25" s="22" t="n">
        <v>45708</v>
      </c>
      <c r="B25" s="23" t="s">
        <v>50</v>
      </c>
      <c r="C25" s="24"/>
      <c r="D25" s="25"/>
      <c r="E25" s="10" t="n">
        <f aca="false">IF(WEEKDAY(A25,2)&lt;=5,Übersicht!$B$4,0)</f>
        <v>8</v>
      </c>
      <c r="F25" s="10" t="str">
        <f aca="false">IF(OR(C25="U",C25="K",C25="F",C25="G"),IF(D25="",0,D25),IF(D25="","",D25-E25))</f>
        <v/>
      </c>
      <c r="G25" s="26"/>
    </row>
    <row r="26" customFormat="false" ht="15" hidden="false" customHeight="false" outlineLevel="0" collapsed="false">
      <c r="A26" s="22" t="n">
        <v>45709</v>
      </c>
      <c r="B26" s="23" t="s">
        <v>51</v>
      </c>
      <c r="C26" s="24"/>
      <c r="D26" s="25"/>
      <c r="E26" s="10" t="n">
        <f aca="false">IF(WEEKDAY(A26,2)&lt;=5,Übersicht!$B$4,0)</f>
        <v>8</v>
      </c>
      <c r="F26" s="10" t="str">
        <f aca="false">IF(OR(C26="U",C26="K",C26="F",C26="G"),IF(D26="",0,D26),IF(D26="","",D26-E26))</f>
        <v/>
      </c>
      <c r="G26" s="26"/>
    </row>
    <row r="27" customFormat="false" ht="15" hidden="false" customHeight="false" outlineLevel="0" collapsed="false">
      <c r="A27" s="16" t="n">
        <v>45710</v>
      </c>
      <c r="B27" s="17" t="s">
        <v>45</v>
      </c>
      <c r="C27" s="18"/>
      <c r="D27" s="19"/>
      <c r="E27" s="20" t="n">
        <f aca="false">IF(WEEKDAY(A27,2)&lt;=5,Übersicht!$B$4,0)</f>
        <v>0</v>
      </c>
      <c r="F27" s="20" t="str">
        <f aca="false">IF(OR(C27="U",C27="K",C27="F",C27="G"),IF(D27="",0,D27),IF(D27="","",D27-E27))</f>
        <v/>
      </c>
      <c r="G27" s="21"/>
    </row>
    <row r="28" customFormat="false" ht="15" hidden="false" customHeight="false" outlineLevel="0" collapsed="false">
      <c r="A28" s="16" t="n">
        <v>45711</v>
      </c>
      <c r="B28" s="17" t="s">
        <v>46</v>
      </c>
      <c r="C28" s="18"/>
      <c r="D28" s="19"/>
      <c r="E28" s="20" t="n">
        <f aca="false">IF(WEEKDAY(A28,2)&lt;=5,Übersicht!$B$4,0)</f>
        <v>0</v>
      </c>
      <c r="F28" s="20" t="str">
        <f aca="false">IF(OR(C28="U",C28="K",C28="F",C28="G"),IF(D28="",0,D28),IF(D28="","",D28-E28))</f>
        <v/>
      </c>
      <c r="G28" s="21"/>
    </row>
    <row r="29" customFormat="false" ht="15" hidden="false" customHeight="false" outlineLevel="0" collapsed="false">
      <c r="A29" s="22" t="n">
        <v>45712</v>
      </c>
      <c r="B29" s="23" t="s">
        <v>47</v>
      </c>
      <c r="C29" s="24"/>
      <c r="D29" s="25"/>
      <c r="E29" s="10" t="n">
        <f aca="false">IF(WEEKDAY(A29,2)&lt;=5,Übersicht!$B$4,0)</f>
        <v>8</v>
      </c>
      <c r="F29" s="10" t="str">
        <f aca="false">IF(OR(C29="U",C29="K",C29="F",C29="G"),IF(D29="",0,D29),IF(D29="","",D29-E29))</f>
        <v/>
      </c>
      <c r="G29" s="26"/>
    </row>
    <row r="30" customFormat="false" ht="15" hidden="false" customHeight="false" outlineLevel="0" collapsed="false">
      <c r="A30" s="22" t="n">
        <v>45713</v>
      </c>
      <c r="B30" s="23" t="s">
        <v>48</v>
      </c>
      <c r="C30" s="24"/>
      <c r="D30" s="25"/>
      <c r="E30" s="10" t="n">
        <f aca="false">IF(WEEKDAY(A30,2)&lt;=5,Übersicht!$B$4,0)</f>
        <v>8</v>
      </c>
      <c r="F30" s="10" t="str">
        <f aca="false">IF(OR(C30="U",C30="K",C30="F",C30="G"),IF(D30="",0,D30),IF(D30="","",D30-E30))</f>
        <v/>
      </c>
      <c r="G30" s="26"/>
    </row>
    <row r="31" customFormat="false" ht="15" hidden="false" customHeight="false" outlineLevel="0" collapsed="false">
      <c r="A31" s="22" t="n">
        <v>45714</v>
      </c>
      <c r="B31" s="23" t="s">
        <v>49</v>
      </c>
      <c r="C31" s="24"/>
      <c r="D31" s="25"/>
      <c r="E31" s="10" t="n">
        <f aca="false">IF(WEEKDAY(A31,2)&lt;=5,Übersicht!$B$4,0)</f>
        <v>8</v>
      </c>
      <c r="F31" s="10" t="str">
        <f aca="false">IF(OR(C31="U",C31="K",C31="F",C31="G"),IF(D31="",0,D31),IF(D31="","",D31-E31))</f>
        <v/>
      </c>
      <c r="G31" s="26"/>
    </row>
    <row r="32" customFormat="false" ht="15" hidden="false" customHeight="false" outlineLevel="0" collapsed="false">
      <c r="A32" s="22" t="n">
        <v>45715</v>
      </c>
      <c r="B32" s="23" t="s">
        <v>50</v>
      </c>
      <c r="C32" s="24"/>
      <c r="D32" s="25"/>
      <c r="E32" s="10" t="n">
        <f aca="false">IF(WEEKDAY(A32,2)&lt;=5,Übersicht!$B$4,0)</f>
        <v>8</v>
      </c>
      <c r="F32" s="10" t="str">
        <f aca="false">IF(OR(C32="U",C32="K",C32="F",C32="G"),IF(D32="",0,D32),IF(D32="","",D32-E32))</f>
        <v/>
      </c>
      <c r="G32" s="26"/>
    </row>
    <row r="33" customFormat="false" ht="15" hidden="false" customHeight="false" outlineLevel="0" collapsed="false">
      <c r="A33" s="22" t="n">
        <v>45716</v>
      </c>
      <c r="B33" s="23" t="s">
        <v>51</v>
      </c>
      <c r="C33" s="24"/>
      <c r="D33" s="25"/>
      <c r="E33" s="10" t="n">
        <f aca="false">IF(WEEKDAY(A33,2)&lt;=5,Übersicht!$B$4,0)</f>
        <v>8</v>
      </c>
      <c r="F33" s="10" t="str">
        <f aca="false">IF(OR(C33="U",C33="K",C33="F",C33="G"),IF(D33="",0,D33),IF(D33="","",D33-E33))</f>
        <v/>
      </c>
      <c r="G33" s="26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0</v>
      </c>
      <c r="E38" s="12" t="n">
        <f aca="false">SUM(E6:E36)</f>
        <v>160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20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Übersicht!F16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3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E16" activeCellId="0" sqref="E1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54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16" t="n">
        <v>45717</v>
      </c>
      <c r="B6" s="17" t="s">
        <v>45</v>
      </c>
      <c r="C6" s="18"/>
      <c r="D6" s="19"/>
      <c r="E6" s="20" t="n">
        <f aca="false">IF(WEEKDAY(A6,2)&lt;=5,Übersicht!$B$4,0)</f>
        <v>0</v>
      </c>
      <c r="F6" s="20" t="str">
        <f aca="false">IF(OR(C6="U",C6="K",C6="F",C6="G"),IF(D6="",0,D6),IF(D6="","",D6-E6))</f>
        <v/>
      </c>
      <c r="G6" s="21"/>
    </row>
    <row r="7" customFormat="false" ht="15" hidden="false" customHeight="false" outlineLevel="0" collapsed="false">
      <c r="A7" s="16" t="n">
        <v>45718</v>
      </c>
      <c r="B7" s="17" t="s">
        <v>46</v>
      </c>
      <c r="C7" s="18"/>
      <c r="D7" s="19"/>
      <c r="E7" s="20" t="n">
        <f aca="false">IF(WEEKDAY(A7,2)&lt;=5,Übersicht!$B$4,0)</f>
        <v>0</v>
      </c>
      <c r="F7" s="20" t="str">
        <f aca="false">IF(OR(C7="U",C7="K",C7="F",C7="G"),IF(D7="",0,D7),IF(D7="","",D7-E7))</f>
        <v/>
      </c>
      <c r="G7" s="21"/>
    </row>
    <row r="8" customFormat="false" ht="15" hidden="false" customHeight="false" outlineLevel="0" collapsed="false">
      <c r="A8" s="22" t="n">
        <v>45719</v>
      </c>
      <c r="B8" s="23" t="s">
        <v>47</v>
      </c>
      <c r="C8" s="24"/>
      <c r="D8" s="25"/>
      <c r="E8" s="10" t="n">
        <f aca="false">IF(WEEKDAY(A8,2)&lt;=5,Übersicht!$B$4,0)</f>
        <v>8</v>
      </c>
      <c r="F8" s="10" t="str">
        <f aca="false">IF(OR(C8="U",C8="K",C8="F",C8="G"),IF(D8="",0,D8),IF(D8="","",D8-E8))</f>
        <v/>
      </c>
      <c r="G8" s="26"/>
    </row>
    <row r="9" customFormat="false" ht="15" hidden="false" customHeight="false" outlineLevel="0" collapsed="false">
      <c r="A9" s="22" t="n">
        <v>45720</v>
      </c>
      <c r="B9" s="23" t="s">
        <v>48</v>
      </c>
      <c r="C9" s="24"/>
      <c r="D9" s="25"/>
      <c r="E9" s="10" t="n">
        <f aca="false">IF(WEEKDAY(A9,2)&lt;=5,Übersicht!$B$4,0)</f>
        <v>8</v>
      </c>
      <c r="F9" s="10" t="str">
        <f aca="false">IF(OR(C9="U",C9="K",C9="F",C9="G"),IF(D9="",0,D9),IF(D9="","",D9-E9))</f>
        <v/>
      </c>
      <c r="G9" s="26"/>
    </row>
    <row r="10" customFormat="false" ht="15" hidden="false" customHeight="false" outlineLevel="0" collapsed="false">
      <c r="A10" s="22" t="n">
        <v>45721</v>
      </c>
      <c r="B10" s="23" t="s">
        <v>49</v>
      </c>
      <c r="C10" s="24"/>
      <c r="D10" s="25"/>
      <c r="E10" s="10" t="n">
        <f aca="false">IF(WEEKDAY(A10,2)&lt;=5,Übersicht!$B$4,0)</f>
        <v>8</v>
      </c>
      <c r="F10" s="10" t="str">
        <f aca="false">IF(OR(C10="U",C10="K",C10="F",C10="G"),IF(D10="",0,D10),IF(D10="","",D10-E10))</f>
        <v/>
      </c>
      <c r="G10" s="26"/>
    </row>
    <row r="11" customFormat="false" ht="15" hidden="false" customHeight="false" outlineLevel="0" collapsed="false">
      <c r="A11" s="22" t="n">
        <v>45722</v>
      </c>
      <c r="B11" s="23" t="s">
        <v>50</v>
      </c>
      <c r="C11" s="24"/>
      <c r="D11" s="25"/>
      <c r="E11" s="10" t="n">
        <f aca="false">IF(WEEKDAY(A11,2)&lt;=5,Übersicht!$B$4,0)</f>
        <v>8</v>
      </c>
      <c r="F11" s="10" t="str">
        <f aca="false">IF(OR(C11="U",C11="K",C11="F",C11="G"),IF(D11="",0,D11),IF(D11="","",D11-E11))</f>
        <v/>
      </c>
      <c r="G11" s="26"/>
    </row>
    <row r="12" customFormat="false" ht="15" hidden="false" customHeight="false" outlineLevel="0" collapsed="false">
      <c r="A12" s="22" t="n">
        <v>45723</v>
      </c>
      <c r="B12" s="23" t="s">
        <v>51</v>
      </c>
      <c r="C12" s="24"/>
      <c r="D12" s="25"/>
      <c r="E12" s="10" t="n">
        <f aca="false">IF(WEEKDAY(A12,2)&lt;=5,Übersicht!$B$4,0)</f>
        <v>8</v>
      </c>
      <c r="F12" s="10" t="str">
        <f aca="false">IF(OR(C12="U",C12="K",C12="F",C12="G"),IF(D12="",0,D12),IF(D12="","",D12-E12))</f>
        <v/>
      </c>
      <c r="G12" s="26"/>
    </row>
    <row r="13" customFormat="false" ht="15" hidden="false" customHeight="false" outlineLevel="0" collapsed="false">
      <c r="A13" s="16" t="n">
        <v>45724</v>
      </c>
      <c r="B13" s="17" t="s">
        <v>45</v>
      </c>
      <c r="C13" s="18"/>
      <c r="D13" s="19"/>
      <c r="E13" s="20" t="n">
        <f aca="false">IF(WEEKDAY(A13,2)&lt;=5,Übersicht!$B$4,0)</f>
        <v>0</v>
      </c>
      <c r="F13" s="20" t="str">
        <f aca="false">IF(OR(C13="U",C13="K",C13="F",C13="G"),IF(D13="",0,D13),IF(D13="","",D13-E13))</f>
        <v/>
      </c>
      <c r="G13" s="21"/>
    </row>
    <row r="14" customFormat="false" ht="15" hidden="false" customHeight="false" outlineLevel="0" collapsed="false">
      <c r="A14" s="16" t="n">
        <v>45725</v>
      </c>
      <c r="B14" s="17" t="s">
        <v>46</v>
      </c>
      <c r="C14" s="18"/>
      <c r="D14" s="19"/>
      <c r="E14" s="20" t="n">
        <f aca="false">IF(WEEKDAY(A14,2)&lt;=5,Übersicht!$B$4,0)</f>
        <v>0</v>
      </c>
      <c r="F14" s="20" t="str">
        <f aca="false">IF(OR(C14="U",C14="K",C14="F",C14="G"),IF(D14="",0,D14),IF(D14="","",D14-E14))</f>
        <v/>
      </c>
      <c r="G14" s="21"/>
    </row>
    <row r="15" customFormat="false" ht="15" hidden="false" customHeight="false" outlineLevel="0" collapsed="false">
      <c r="A15" s="22" t="n">
        <v>45726</v>
      </c>
      <c r="B15" s="23" t="s">
        <v>47</v>
      </c>
      <c r="C15" s="24"/>
      <c r="D15" s="25"/>
      <c r="E15" s="10" t="n">
        <f aca="false">IF(WEEKDAY(A15,2)&lt;=5,Übersicht!$B$4,0)</f>
        <v>8</v>
      </c>
      <c r="F15" s="10" t="str">
        <f aca="false">IF(OR(C15="U",C15="K",C15="F",C15="G"),IF(D15="",0,D15),IF(D15="","",D15-E15))</f>
        <v/>
      </c>
      <c r="G15" s="26"/>
    </row>
    <row r="16" customFormat="false" ht="15" hidden="false" customHeight="false" outlineLevel="0" collapsed="false">
      <c r="A16" s="22" t="n">
        <v>45727</v>
      </c>
      <c r="B16" s="23" t="s">
        <v>48</v>
      </c>
      <c r="C16" s="24"/>
      <c r="D16" s="25"/>
      <c r="E16" s="10" t="n">
        <f aca="false">IF(WEEKDAY(A16,2)&lt;=5,Übersicht!$B$4,0)</f>
        <v>8</v>
      </c>
      <c r="F16" s="10" t="str">
        <f aca="false">IF(OR(C16="U",C16="K",C16="F",C16="G"),IF(D16="",0,D16),IF(D16="","",D16-E16))</f>
        <v/>
      </c>
      <c r="G16" s="26"/>
    </row>
    <row r="17" customFormat="false" ht="15" hidden="false" customHeight="false" outlineLevel="0" collapsed="false">
      <c r="A17" s="22" t="n">
        <v>45728</v>
      </c>
      <c r="B17" s="23" t="s">
        <v>49</v>
      </c>
      <c r="C17" s="24"/>
      <c r="D17" s="25"/>
      <c r="E17" s="10" t="n">
        <f aca="false">IF(WEEKDAY(A17,2)&lt;=5,Übersicht!$B$4,0)</f>
        <v>8</v>
      </c>
      <c r="F17" s="10" t="str">
        <f aca="false">IF(OR(C17="U",C17="K",C17="F",C17="G"),IF(D17="",0,D17),IF(D17="","",D17-E17))</f>
        <v/>
      </c>
      <c r="G17" s="26"/>
    </row>
    <row r="18" customFormat="false" ht="15" hidden="false" customHeight="false" outlineLevel="0" collapsed="false">
      <c r="A18" s="22" t="n">
        <v>45729</v>
      </c>
      <c r="B18" s="23" t="s">
        <v>50</v>
      </c>
      <c r="C18" s="24"/>
      <c r="D18" s="25"/>
      <c r="E18" s="10" t="n">
        <f aca="false">IF(WEEKDAY(A18,2)&lt;=5,Übersicht!$B$4,0)</f>
        <v>8</v>
      </c>
      <c r="F18" s="10" t="str">
        <f aca="false">IF(OR(C18="U",C18="K",C18="F",C18="G"),IF(D18="",0,D18),IF(D18="","",D18-E18))</f>
        <v/>
      </c>
      <c r="G18" s="26"/>
    </row>
    <row r="19" customFormat="false" ht="15" hidden="false" customHeight="false" outlineLevel="0" collapsed="false">
      <c r="A19" s="22" t="n">
        <v>45730</v>
      </c>
      <c r="B19" s="23" t="s">
        <v>51</v>
      </c>
      <c r="C19" s="24"/>
      <c r="D19" s="25"/>
      <c r="E19" s="10" t="n">
        <f aca="false">IF(WEEKDAY(A19,2)&lt;=5,Übersicht!$B$4,0)</f>
        <v>8</v>
      </c>
      <c r="F19" s="10" t="str">
        <f aca="false">IF(OR(C19="U",C19="K",C19="F",C19="G"),IF(D19="",0,D19),IF(D19="","",D19-E19))</f>
        <v/>
      </c>
      <c r="G19" s="26"/>
    </row>
    <row r="20" customFormat="false" ht="15" hidden="false" customHeight="false" outlineLevel="0" collapsed="false">
      <c r="A20" s="16" t="n">
        <v>45731</v>
      </c>
      <c r="B20" s="17" t="s">
        <v>45</v>
      </c>
      <c r="C20" s="18"/>
      <c r="D20" s="19"/>
      <c r="E20" s="20" t="n">
        <f aca="false">IF(WEEKDAY(A20,2)&lt;=5,Übersicht!$B$4,0)</f>
        <v>0</v>
      </c>
      <c r="F20" s="20" t="str">
        <f aca="false">IF(OR(C20="U",C20="K",C20="F",C20="G"),IF(D20="",0,D20),IF(D20="","",D20-E20))</f>
        <v/>
      </c>
      <c r="G20" s="21"/>
    </row>
    <row r="21" customFormat="false" ht="15" hidden="false" customHeight="false" outlineLevel="0" collapsed="false">
      <c r="A21" s="16" t="n">
        <v>45732</v>
      </c>
      <c r="B21" s="17" t="s">
        <v>46</v>
      </c>
      <c r="C21" s="18"/>
      <c r="D21" s="19"/>
      <c r="E21" s="20" t="n">
        <f aca="false">IF(WEEKDAY(A21,2)&lt;=5,Übersicht!$B$4,0)</f>
        <v>0</v>
      </c>
      <c r="F21" s="20" t="str">
        <f aca="false">IF(OR(C21="U",C21="K",C21="F",C21="G"),IF(D21="",0,D21),IF(D21="","",D21-E21))</f>
        <v/>
      </c>
      <c r="G21" s="21"/>
    </row>
    <row r="22" customFormat="false" ht="15" hidden="false" customHeight="false" outlineLevel="0" collapsed="false">
      <c r="A22" s="22" t="n">
        <v>45733</v>
      </c>
      <c r="B22" s="23" t="s">
        <v>47</v>
      </c>
      <c r="C22" s="24"/>
      <c r="D22" s="25"/>
      <c r="E22" s="10" t="n">
        <f aca="false">IF(WEEKDAY(A22,2)&lt;=5,Übersicht!$B$4,0)</f>
        <v>8</v>
      </c>
      <c r="F22" s="10" t="str">
        <f aca="false">IF(OR(C22="U",C22="K",C22="F",C22="G"),IF(D22="",0,D22),IF(D22="","",D22-E22))</f>
        <v/>
      </c>
      <c r="G22" s="26"/>
    </row>
    <row r="23" customFormat="false" ht="15" hidden="false" customHeight="false" outlineLevel="0" collapsed="false">
      <c r="A23" s="22" t="n">
        <v>45734</v>
      </c>
      <c r="B23" s="23" t="s">
        <v>48</v>
      </c>
      <c r="C23" s="24"/>
      <c r="D23" s="25"/>
      <c r="E23" s="10" t="n">
        <f aca="false">IF(WEEKDAY(A23,2)&lt;=5,Übersicht!$B$4,0)</f>
        <v>8</v>
      </c>
      <c r="F23" s="10" t="str">
        <f aca="false">IF(OR(C23="U",C23="K",C23="F",C23="G"),IF(D23="",0,D23),IF(D23="","",D23-E23))</f>
        <v/>
      </c>
      <c r="G23" s="26"/>
    </row>
    <row r="24" customFormat="false" ht="15" hidden="false" customHeight="false" outlineLevel="0" collapsed="false">
      <c r="A24" s="22" t="n">
        <v>45735</v>
      </c>
      <c r="B24" s="23" t="s">
        <v>49</v>
      </c>
      <c r="C24" s="24"/>
      <c r="D24" s="25"/>
      <c r="E24" s="10" t="n">
        <f aca="false">IF(WEEKDAY(A24,2)&lt;=5,Übersicht!$B$4,0)</f>
        <v>8</v>
      </c>
      <c r="F24" s="10" t="str">
        <f aca="false">IF(OR(C24="U",C24="K",C24="F",C24="G"),IF(D24="",0,D24),IF(D24="","",D24-E24))</f>
        <v/>
      </c>
      <c r="G24" s="26"/>
    </row>
    <row r="25" customFormat="false" ht="15" hidden="false" customHeight="false" outlineLevel="0" collapsed="false">
      <c r="A25" s="22" t="n">
        <v>45736</v>
      </c>
      <c r="B25" s="23" t="s">
        <v>50</v>
      </c>
      <c r="C25" s="24"/>
      <c r="D25" s="25"/>
      <c r="E25" s="10" t="n">
        <f aca="false">IF(WEEKDAY(A25,2)&lt;=5,Übersicht!$B$4,0)</f>
        <v>8</v>
      </c>
      <c r="F25" s="10" t="str">
        <f aca="false">IF(OR(C25="U",C25="K",C25="F",C25="G"),IF(D25="",0,D25),IF(D25="","",D25-E25))</f>
        <v/>
      </c>
      <c r="G25" s="26"/>
    </row>
    <row r="26" customFormat="false" ht="15" hidden="false" customHeight="false" outlineLevel="0" collapsed="false">
      <c r="A26" s="22" t="n">
        <v>45737</v>
      </c>
      <c r="B26" s="23" t="s">
        <v>51</v>
      </c>
      <c r="C26" s="24"/>
      <c r="D26" s="25"/>
      <c r="E26" s="10" t="n">
        <f aca="false">IF(WEEKDAY(A26,2)&lt;=5,Übersicht!$B$4,0)</f>
        <v>8</v>
      </c>
      <c r="F26" s="10" t="str">
        <f aca="false">IF(OR(C26="U",C26="K",C26="F",C26="G"),IF(D26="",0,D26),IF(D26="","",D26-E26))</f>
        <v/>
      </c>
      <c r="G26" s="26"/>
    </row>
    <row r="27" customFormat="false" ht="15" hidden="false" customHeight="false" outlineLevel="0" collapsed="false">
      <c r="A27" s="16" t="n">
        <v>45738</v>
      </c>
      <c r="B27" s="17" t="s">
        <v>45</v>
      </c>
      <c r="C27" s="18"/>
      <c r="D27" s="19"/>
      <c r="E27" s="20" t="n">
        <f aca="false">IF(WEEKDAY(A27,2)&lt;=5,Übersicht!$B$4,0)</f>
        <v>0</v>
      </c>
      <c r="F27" s="20" t="str">
        <f aca="false">IF(OR(C27="U",C27="K",C27="F",C27="G"),IF(D27="",0,D27),IF(D27="","",D27-E27))</f>
        <v/>
      </c>
      <c r="G27" s="21"/>
    </row>
    <row r="28" customFormat="false" ht="15" hidden="false" customHeight="false" outlineLevel="0" collapsed="false">
      <c r="A28" s="16" t="n">
        <v>45739</v>
      </c>
      <c r="B28" s="17" t="s">
        <v>46</v>
      </c>
      <c r="C28" s="18"/>
      <c r="D28" s="19"/>
      <c r="E28" s="20" t="n">
        <f aca="false">IF(WEEKDAY(A28,2)&lt;=5,Übersicht!$B$4,0)</f>
        <v>0</v>
      </c>
      <c r="F28" s="20" t="str">
        <f aca="false">IF(OR(C28="U",C28="K",C28="F",C28="G"),IF(D28="",0,D28),IF(D28="","",D28-E28))</f>
        <v/>
      </c>
      <c r="G28" s="21"/>
    </row>
    <row r="29" customFormat="false" ht="15" hidden="false" customHeight="false" outlineLevel="0" collapsed="false">
      <c r="A29" s="22" t="n">
        <v>45740</v>
      </c>
      <c r="B29" s="23" t="s">
        <v>47</v>
      </c>
      <c r="C29" s="24"/>
      <c r="D29" s="25"/>
      <c r="E29" s="10" t="n">
        <f aca="false">IF(WEEKDAY(A29,2)&lt;=5,Übersicht!$B$4,0)</f>
        <v>8</v>
      </c>
      <c r="F29" s="10" t="str">
        <f aca="false">IF(OR(C29="U",C29="K",C29="F",C29="G"),IF(D29="",0,D29),IF(D29="","",D29-E29))</f>
        <v/>
      </c>
      <c r="G29" s="26"/>
    </row>
    <row r="30" customFormat="false" ht="15" hidden="false" customHeight="false" outlineLevel="0" collapsed="false">
      <c r="A30" s="22" t="n">
        <v>45741</v>
      </c>
      <c r="B30" s="23" t="s">
        <v>48</v>
      </c>
      <c r="C30" s="24"/>
      <c r="D30" s="25"/>
      <c r="E30" s="10" t="n">
        <f aca="false">IF(WEEKDAY(A30,2)&lt;=5,Übersicht!$B$4,0)</f>
        <v>8</v>
      </c>
      <c r="F30" s="10" t="str">
        <f aca="false">IF(OR(C30="U",C30="K",C30="F",C30="G"),IF(D30="",0,D30),IF(D30="","",D30-E30))</f>
        <v/>
      </c>
      <c r="G30" s="26"/>
    </row>
    <row r="31" customFormat="false" ht="15" hidden="false" customHeight="false" outlineLevel="0" collapsed="false">
      <c r="A31" s="22" t="n">
        <v>45742</v>
      </c>
      <c r="B31" s="23" t="s">
        <v>49</v>
      </c>
      <c r="C31" s="24"/>
      <c r="D31" s="25"/>
      <c r="E31" s="10" t="n">
        <f aca="false">IF(WEEKDAY(A31,2)&lt;=5,Übersicht!$B$4,0)</f>
        <v>8</v>
      </c>
      <c r="F31" s="10" t="str">
        <f aca="false">IF(OR(C31="U",C31="K",C31="F",C31="G"),IF(D31="",0,D31),IF(D31="","",D31-E31))</f>
        <v/>
      </c>
      <c r="G31" s="26"/>
    </row>
    <row r="32" customFormat="false" ht="15" hidden="false" customHeight="false" outlineLevel="0" collapsed="false">
      <c r="A32" s="22" t="n">
        <v>45743</v>
      </c>
      <c r="B32" s="23" t="s">
        <v>50</v>
      </c>
      <c r="C32" s="24"/>
      <c r="D32" s="25"/>
      <c r="E32" s="10" t="n">
        <f aca="false">IF(WEEKDAY(A32,2)&lt;=5,Übersicht!$B$4,0)</f>
        <v>8</v>
      </c>
      <c r="F32" s="10" t="str">
        <f aca="false">IF(OR(C32="U",C32="K",C32="F",C32="G"),IF(D32="",0,D32),IF(D32="","",D32-E32))</f>
        <v/>
      </c>
      <c r="G32" s="26"/>
    </row>
    <row r="33" customFormat="false" ht="15" hidden="false" customHeight="false" outlineLevel="0" collapsed="false">
      <c r="A33" s="22" t="n">
        <v>45744</v>
      </c>
      <c r="B33" s="23" t="s">
        <v>51</v>
      </c>
      <c r="C33" s="24"/>
      <c r="D33" s="25"/>
      <c r="E33" s="10" t="n">
        <f aca="false">IF(WEEKDAY(A33,2)&lt;=5,Übersicht!$B$4,0)</f>
        <v>8</v>
      </c>
      <c r="F33" s="10" t="str">
        <f aca="false">IF(OR(C33="U",C33="K",C33="F",C33="G"),IF(D33="",0,D33),IF(D33="","",D33-E33))</f>
        <v/>
      </c>
      <c r="G33" s="26"/>
    </row>
    <row r="34" customFormat="false" ht="15" hidden="false" customHeight="false" outlineLevel="0" collapsed="false">
      <c r="A34" s="16" t="n">
        <v>45745</v>
      </c>
      <c r="B34" s="17" t="s">
        <v>45</v>
      </c>
      <c r="C34" s="18"/>
      <c r="D34" s="19"/>
      <c r="E34" s="20" t="n">
        <f aca="false">IF(WEEKDAY(A34,2)&lt;=5,Übersicht!$B$4,0)</f>
        <v>0</v>
      </c>
      <c r="F34" s="20" t="str">
        <f aca="false">IF(OR(C34="U",C34="K",C34="F",C34="G"),IF(D34="",0,D34),IF(D34="","",D34-E34))</f>
        <v/>
      </c>
      <c r="G34" s="21"/>
    </row>
    <row r="35" customFormat="false" ht="15" hidden="false" customHeight="false" outlineLevel="0" collapsed="false">
      <c r="A35" s="16" t="n">
        <v>45746</v>
      </c>
      <c r="B35" s="17" t="s">
        <v>46</v>
      </c>
      <c r="C35" s="18"/>
      <c r="D35" s="19"/>
      <c r="E35" s="20" t="n">
        <f aca="false">IF(WEEKDAY(A35,2)&lt;=5,Übersicht!$B$4,0)</f>
        <v>0</v>
      </c>
      <c r="F35" s="20" t="str">
        <f aca="false">IF(OR(C35="U",C35="K",C35="F",C35="G"),IF(D35="",0,D35),IF(D35="","",D35-E35))</f>
        <v/>
      </c>
      <c r="G35" s="21"/>
    </row>
    <row r="36" customFormat="false" ht="15" hidden="false" customHeight="false" outlineLevel="0" collapsed="false">
      <c r="A36" s="22" t="n">
        <v>45747</v>
      </c>
      <c r="B36" s="23" t="s">
        <v>47</v>
      </c>
      <c r="C36" s="24"/>
      <c r="D36" s="25"/>
      <c r="E36" s="10" t="n">
        <f aca="false">IF(WEEKDAY(A36,2)&lt;=5,Übersicht!$B$4,0)</f>
        <v>8</v>
      </c>
      <c r="F36" s="10" t="str">
        <f aca="false">IF(OR(C36="U",C36="K",C36="F",C36="G"),IF(D36="",0,D36),IF(D36="","",D36-E36))</f>
        <v/>
      </c>
      <c r="G36" s="26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0</v>
      </c>
      <c r="E38" s="12" t="n">
        <f aca="false">SUM(E6:E36)</f>
        <v>168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21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Übersicht!F17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6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29" activeCellId="0" sqref="C2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55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22" t="n">
        <v>45748</v>
      </c>
      <c r="B6" s="23" t="s">
        <v>48</v>
      </c>
      <c r="C6" s="24"/>
      <c r="D6" s="25"/>
      <c r="E6" s="10" t="n">
        <f aca="false">IF(WEEKDAY(A6,2)&lt;=5,Übersicht!$B$4,0)</f>
        <v>8</v>
      </c>
      <c r="F6" s="10" t="str">
        <f aca="false">IF(OR(C6="U",C6="K",C6="F",C6="G"),IF(D6="",0,D6),IF(D6="","",D6-E6))</f>
        <v/>
      </c>
      <c r="G6" s="26"/>
    </row>
    <row r="7" customFormat="false" ht="15" hidden="false" customHeight="false" outlineLevel="0" collapsed="false">
      <c r="A7" s="22" t="n">
        <v>45749</v>
      </c>
      <c r="B7" s="23" t="s">
        <v>49</v>
      </c>
      <c r="C7" s="24"/>
      <c r="D7" s="25"/>
      <c r="E7" s="10" t="n">
        <f aca="false">IF(WEEKDAY(A7,2)&lt;=5,Übersicht!$B$4,0)</f>
        <v>8</v>
      </c>
      <c r="F7" s="10" t="str">
        <f aca="false">IF(OR(C7="U",C7="K",C7="F",C7="G"),IF(D7="",0,D7),IF(D7="","",D7-E7))</f>
        <v/>
      </c>
      <c r="G7" s="26"/>
    </row>
    <row r="8" customFormat="false" ht="15" hidden="false" customHeight="false" outlineLevel="0" collapsed="false">
      <c r="A8" s="22" t="n">
        <v>45750</v>
      </c>
      <c r="B8" s="23" t="s">
        <v>50</v>
      </c>
      <c r="C8" s="24"/>
      <c r="D8" s="25"/>
      <c r="E8" s="10" t="n">
        <f aca="false">IF(WEEKDAY(A8,2)&lt;=5,Übersicht!$B$4,0)</f>
        <v>8</v>
      </c>
      <c r="F8" s="10" t="str">
        <f aca="false">IF(OR(C8="U",C8="K",C8="F",C8="G"),IF(D8="",0,D8),IF(D8="","",D8-E8))</f>
        <v/>
      </c>
      <c r="G8" s="26"/>
    </row>
    <row r="9" customFormat="false" ht="15" hidden="false" customHeight="false" outlineLevel="0" collapsed="false">
      <c r="A9" s="22" t="n">
        <v>45751</v>
      </c>
      <c r="B9" s="23" t="s">
        <v>51</v>
      </c>
      <c r="C9" s="24"/>
      <c r="D9" s="25"/>
      <c r="E9" s="10" t="n">
        <f aca="false">IF(WEEKDAY(A9,2)&lt;=5,Übersicht!$B$4,0)</f>
        <v>8</v>
      </c>
      <c r="F9" s="10" t="str">
        <f aca="false">IF(OR(C9="U",C9="K",C9="F",C9="G"),IF(D9="",0,D9),IF(D9="","",D9-E9))</f>
        <v/>
      </c>
      <c r="G9" s="26"/>
    </row>
    <row r="10" customFormat="false" ht="15" hidden="false" customHeight="false" outlineLevel="0" collapsed="false">
      <c r="A10" s="16" t="n">
        <v>45752</v>
      </c>
      <c r="B10" s="17" t="s">
        <v>45</v>
      </c>
      <c r="C10" s="18"/>
      <c r="D10" s="19"/>
      <c r="E10" s="20" t="n">
        <f aca="false">IF(WEEKDAY(A10,2)&lt;=5,Übersicht!$B$4,0)</f>
        <v>0</v>
      </c>
      <c r="F10" s="20" t="str">
        <f aca="false">IF(OR(C10="U",C10="K",C10="F",C10="G"),IF(D10="",0,D10),IF(D10="","",D10-E10))</f>
        <v/>
      </c>
      <c r="G10" s="21"/>
    </row>
    <row r="11" customFormat="false" ht="15" hidden="false" customHeight="false" outlineLevel="0" collapsed="false">
      <c r="A11" s="16" t="n">
        <v>45753</v>
      </c>
      <c r="B11" s="17" t="s">
        <v>46</v>
      </c>
      <c r="C11" s="18"/>
      <c r="D11" s="19"/>
      <c r="E11" s="20" t="n">
        <f aca="false">IF(WEEKDAY(A11,2)&lt;=5,Übersicht!$B$4,0)</f>
        <v>0</v>
      </c>
      <c r="F11" s="20" t="str">
        <f aca="false">IF(OR(C11="U",C11="K",C11="F",C11="G"),IF(D11="",0,D11),IF(D11="","",D11-E11))</f>
        <v/>
      </c>
      <c r="G11" s="21"/>
    </row>
    <row r="12" customFormat="false" ht="15" hidden="false" customHeight="false" outlineLevel="0" collapsed="false">
      <c r="A12" s="22" t="n">
        <v>45754</v>
      </c>
      <c r="B12" s="23" t="s">
        <v>47</v>
      </c>
      <c r="C12" s="24"/>
      <c r="D12" s="25"/>
      <c r="E12" s="10" t="n">
        <f aca="false">IF(WEEKDAY(A12,2)&lt;=5,Übersicht!$B$4,0)</f>
        <v>8</v>
      </c>
      <c r="F12" s="10" t="str">
        <f aca="false">IF(OR(C12="U",C12="K",C12="F",C12="G"),IF(D12="",0,D12),IF(D12="","",D12-E12))</f>
        <v/>
      </c>
      <c r="G12" s="26"/>
    </row>
    <row r="13" customFormat="false" ht="15" hidden="false" customHeight="false" outlineLevel="0" collapsed="false">
      <c r="A13" s="22" t="n">
        <v>45755</v>
      </c>
      <c r="B13" s="23" t="s">
        <v>48</v>
      </c>
      <c r="C13" s="24"/>
      <c r="D13" s="25"/>
      <c r="E13" s="10" t="n">
        <f aca="false">IF(WEEKDAY(A13,2)&lt;=5,Übersicht!$B$4,0)</f>
        <v>8</v>
      </c>
      <c r="F13" s="10" t="str">
        <f aca="false">IF(OR(C13="U",C13="K",C13="F",C13="G"),IF(D13="",0,D13),IF(D13="","",D13-E13))</f>
        <v/>
      </c>
      <c r="G13" s="26"/>
    </row>
    <row r="14" customFormat="false" ht="15" hidden="false" customHeight="false" outlineLevel="0" collapsed="false">
      <c r="A14" s="22" t="n">
        <v>45756</v>
      </c>
      <c r="B14" s="23" t="s">
        <v>49</v>
      </c>
      <c r="C14" s="24"/>
      <c r="D14" s="25"/>
      <c r="E14" s="10" t="n">
        <f aca="false">IF(WEEKDAY(A14,2)&lt;=5,Übersicht!$B$4,0)</f>
        <v>8</v>
      </c>
      <c r="F14" s="10" t="str">
        <f aca="false">IF(OR(C14="U",C14="K",C14="F",C14="G"),IF(D14="",0,D14),IF(D14="","",D14-E14))</f>
        <v/>
      </c>
      <c r="G14" s="26"/>
    </row>
    <row r="15" customFormat="false" ht="15" hidden="false" customHeight="false" outlineLevel="0" collapsed="false">
      <c r="A15" s="22" t="n">
        <v>45757</v>
      </c>
      <c r="B15" s="23" t="s">
        <v>50</v>
      </c>
      <c r="C15" s="24"/>
      <c r="D15" s="25"/>
      <c r="E15" s="10" t="n">
        <f aca="false">IF(WEEKDAY(A15,2)&lt;=5,Übersicht!$B$4,0)</f>
        <v>8</v>
      </c>
      <c r="F15" s="10" t="str">
        <f aca="false">IF(OR(C15="U",C15="K",C15="F",C15="G"),IF(D15="",0,D15),IF(D15="","",D15-E15))</f>
        <v/>
      </c>
      <c r="G15" s="26"/>
    </row>
    <row r="16" customFormat="false" ht="15" hidden="false" customHeight="false" outlineLevel="0" collapsed="false">
      <c r="A16" s="22" t="n">
        <v>45758</v>
      </c>
      <c r="B16" s="23" t="s">
        <v>51</v>
      </c>
      <c r="C16" s="24"/>
      <c r="D16" s="25"/>
      <c r="E16" s="10" t="n">
        <f aca="false">IF(WEEKDAY(A16,2)&lt;=5,Übersicht!$B$4,0)</f>
        <v>8</v>
      </c>
      <c r="F16" s="10" t="str">
        <f aca="false">IF(OR(C16="U",C16="K",C16="F",C16="G"),IF(D16="",0,D16),IF(D16="","",D16-E16))</f>
        <v/>
      </c>
      <c r="G16" s="26"/>
    </row>
    <row r="17" customFormat="false" ht="15" hidden="false" customHeight="false" outlineLevel="0" collapsed="false">
      <c r="A17" s="16" t="n">
        <v>45759</v>
      </c>
      <c r="B17" s="17" t="s">
        <v>45</v>
      </c>
      <c r="C17" s="18"/>
      <c r="D17" s="19"/>
      <c r="E17" s="20" t="n">
        <f aca="false">IF(WEEKDAY(A17,2)&lt;=5,Übersicht!$B$4,0)</f>
        <v>0</v>
      </c>
      <c r="F17" s="20" t="str">
        <f aca="false">IF(OR(C17="U",C17="K",C17="F",C17="G"),IF(D17="",0,D17),IF(D17="","",D17-E17))</f>
        <v/>
      </c>
      <c r="G17" s="21"/>
    </row>
    <row r="18" customFormat="false" ht="15" hidden="false" customHeight="false" outlineLevel="0" collapsed="false">
      <c r="A18" s="16" t="n">
        <v>45760</v>
      </c>
      <c r="B18" s="17" t="s">
        <v>46</v>
      </c>
      <c r="C18" s="18"/>
      <c r="D18" s="19"/>
      <c r="E18" s="20" t="n">
        <f aca="false">IF(WEEKDAY(A18,2)&lt;=5,Übersicht!$B$4,0)</f>
        <v>0</v>
      </c>
      <c r="F18" s="20" t="str">
        <f aca="false">IF(OR(C18="U",C18="K",C18="F",C18="G"),IF(D18="",0,D18),IF(D18="","",D18-E18))</f>
        <v/>
      </c>
      <c r="G18" s="21"/>
    </row>
    <row r="19" customFormat="false" ht="15" hidden="false" customHeight="false" outlineLevel="0" collapsed="false">
      <c r="A19" s="22" t="n">
        <v>45761</v>
      </c>
      <c r="B19" s="23" t="s">
        <v>47</v>
      </c>
      <c r="C19" s="24"/>
      <c r="D19" s="25"/>
      <c r="E19" s="10" t="n">
        <f aca="false">IF(WEEKDAY(A19,2)&lt;=5,Übersicht!$B$4,0)</f>
        <v>8</v>
      </c>
      <c r="F19" s="10" t="str">
        <f aca="false">IF(OR(C19="U",C19="K",C19="F",C19="G"),IF(D19="",0,D19),IF(D19="","",D19-E19))</f>
        <v/>
      </c>
      <c r="G19" s="26"/>
    </row>
    <row r="20" customFormat="false" ht="15" hidden="false" customHeight="false" outlineLevel="0" collapsed="false">
      <c r="A20" s="22" t="n">
        <v>45762</v>
      </c>
      <c r="B20" s="23" t="s">
        <v>48</v>
      </c>
      <c r="C20" s="24"/>
      <c r="D20" s="25"/>
      <c r="E20" s="10" t="n">
        <f aca="false">IF(WEEKDAY(A20,2)&lt;=5,Übersicht!$B$4,0)</f>
        <v>8</v>
      </c>
      <c r="F20" s="10" t="str">
        <f aca="false">IF(OR(C20="U",C20="K",C20="F",C20="G"),IF(D20="",0,D20),IF(D20="","",D20-E20))</f>
        <v/>
      </c>
      <c r="G20" s="26"/>
    </row>
    <row r="21" customFormat="false" ht="15" hidden="false" customHeight="false" outlineLevel="0" collapsed="false">
      <c r="A21" s="22" t="n">
        <v>45763</v>
      </c>
      <c r="B21" s="23" t="s">
        <v>49</v>
      </c>
      <c r="C21" s="24"/>
      <c r="D21" s="25"/>
      <c r="E21" s="10" t="n">
        <f aca="false">IF(WEEKDAY(A21,2)&lt;=5,Übersicht!$B$4,0)</f>
        <v>8</v>
      </c>
      <c r="F21" s="10" t="str">
        <f aca="false">IF(OR(C21="U",C21="K",C21="F",C21="G"),IF(D21="",0,D21),IF(D21="","",D21-E21))</f>
        <v/>
      </c>
      <c r="G21" s="26"/>
    </row>
    <row r="22" customFormat="false" ht="15" hidden="false" customHeight="false" outlineLevel="0" collapsed="false">
      <c r="A22" s="22" t="n">
        <v>45764</v>
      </c>
      <c r="B22" s="23" t="s">
        <v>50</v>
      </c>
      <c r="C22" s="24"/>
      <c r="D22" s="25"/>
      <c r="E22" s="10" t="n">
        <f aca="false">IF(WEEKDAY(A22,2)&lt;=5,Übersicht!$B$4,0)</f>
        <v>8</v>
      </c>
      <c r="F22" s="10" t="str">
        <f aca="false">IF(OR(C22="U",C22="K",C22="F",C22="G"),IF(D22="",0,D22),IF(D22="","",D22-E22))</f>
        <v/>
      </c>
      <c r="G22" s="26"/>
    </row>
    <row r="23" customFormat="false" ht="15" hidden="false" customHeight="false" outlineLevel="0" collapsed="false">
      <c r="A23" s="22" t="n">
        <v>45765</v>
      </c>
      <c r="B23" s="23" t="s">
        <v>51</v>
      </c>
      <c r="C23" s="24" t="s">
        <v>56</v>
      </c>
      <c r="D23" s="25"/>
      <c r="E23" s="10" t="n">
        <f aca="false">IF(WEEKDAY(A23,2)&lt;=5,Übersicht!$B$4,0)</f>
        <v>8</v>
      </c>
      <c r="F23" s="10" t="n">
        <f aca="false">IF(OR(C23="U",C23="K",C23="F",C23="G"),IF(D23="",0,D23),IF(D23="","",D23-E23))</f>
        <v>0</v>
      </c>
      <c r="G23" s="26" t="s">
        <v>57</v>
      </c>
    </row>
    <row r="24" customFormat="false" ht="15" hidden="false" customHeight="false" outlineLevel="0" collapsed="false">
      <c r="A24" s="16" t="n">
        <v>45766</v>
      </c>
      <c r="B24" s="17" t="s">
        <v>45</v>
      </c>
      <c r="C24" s="18"/>
      <c r="D24" s="19"/>
      <c r="E24" s="20" t="n">
        <f aca="false">IF(WEEKDAY(A24,2)&lt;=5,Übersicht!$B$4,0)</f>
        <v>0</v>
      </c>
      <c r="F24" s="20" t="str">
        <f aca="false">IF(OR(C24="U",C24="K",C24="F",C24="G"),IF(D24="",0,D24),IF(D24="","",D24-E24))</f>
        <v/>
      </c>
      <c r="G24" s="21"/>
    </row>
    <row r="25" customFormat="false" ht="15" hidden="false" customHeight="false" outlineLevel="0" collapsed="false">
      <c r="A25" s="16" t="n">
        <v>45767</v>
      </c>
      <c r="B25" s="17" t="s">
        <v>46</v>
      </c>
      <c r="C25" s="18"/>
      <c r="D25" s="19"/>
      <c r="E25" s="20" t="n">
        <f aca="false">IF(WEEKDAY(A25,2)&lt;=5,Übersicht!$B$4,0)</f>
        <v>0</v>
      </c>
      <c r="F25" s="20" t="str">
        <f aca="false">IF(OR(C25="U",C25="K",C25="F",C25="G"),IF(D25="",0,D25),IF(D25="","",D25-E25))</f>
        <v/>
      </c>
      <c r="G25" s="21"/>
    </row>
    <row r="26" customFormat="false" ht="15" hidden="false" customHeight="false" outlineLevel="0" collapsed="false">
      <c r="A26" s="22" t="n">
        <v>45768</v>
      </c>
      <c r="B26" s="23" t="s">
        <v>47</v>
      </c>
      <c r="C26" s="24" t="s">
        <v>56</v>
      </c>
      <c r="D26" s="25"/>
      <c r="E26" s="10" t="n">
        <f aca="false">IF(WEEKDAY(A26,2)&lt;=5,Übersicht!$B$4,0)</f>
        <v>8</v>
      </c>
      <c r="F26" s="10" t="n">
        <f aca="false">IF(OR(C26="U",C26="K",C26="F",C26="G"),IF(D26="",0,D26),IF(D26="","",D26-E26))</f>
        <v>0</v>
      </c>
      <c r="G26" s="26" t="s">
        <v>58</v>
      </c>
    </row>
    <row r="27" customFormat="false" ht="15" hidden="false" customHeight="false" outlineLevel="0" collapsed="false">
      <c r="A27" s="22" t="n">
        <v>45769</v>
      </c>
      <c r="B27" s="23" t="s">
        <v>48</v>
      </c>
      <c r="C27" s="24"/>
      <c r="D27" s="25"/>
      <c r="E27" s="10" t="n">
        <f aca="false">IF(WEEKDAY(A27,2)&lt;=5,Übersicht!$B$4,0)</f>
        <v>8</v>
      </c>
      <c r="F27" s="10" t="str">
        <f aca="false">IF(OR(C27="U",C27="K",C27="F",C27="G"),IF(D27="",0,D27),IF(D27="","",D27-E27))</f>
        <v/>
      </c>
      <c r="G27" s="26"/>
    </row>
    <row r="28" customFormat="false" ht="15" hidden="false" customHeight="false" outlineLevel="0" collapsed="false">
      <c r="A28" s="22" t="n">
        <v>45770</v>
      </c>
      <c r="B28" s="23" t="s">
        <v>49</v>
      </c>
      <c r="C28" s="24"/>
      <c r="D28" s="25"/>
      <c r="E28" s="10" t="n">
        <f aca="false">IF(WEEKDAY(A28,2)&lt;=5,Übersicht!$B$4,0)</f>
        <v>8</v>
      </c>
      <c r="F28" s="10" t="str">
        <f aca="false">IF(OR(C28="U",C28="K",C28="F",C28="G"),IF(D28="",0,D28),IF(D28="","",D28-E28))</f>
        <v/>
      </c>
      <c r="G28" s="26"/>
    </row>
    <row r="29" customFormat="false" ht="15" hidden="false" customHeight="false" outlineLevel="0" collapsed="false">
      <c r="A29" s="22" t="n">
        <v>45771</v>
      </c>
      <c r="B29" s="23" t="s">
        <v>50</v>
      </c>
      <c r="C29" s="24"/>
      <c r="D29" s="25"/>
      <c r="E29" s="10" t="n">
        <f aca="false">IF(WEEKDAY(A29,2)&lt;=5,Übersicht!$B$4,0)</f>
        <v>8</v>
      </c>
      <c r="F29" s="10" t="str">
        <f aca="false">IF(OR(C29="U",C29="K",C29="F",C29="G"),IF(D29="",0,D29),IF(D29="","",D29-E29))</f>
        <v/>
      </c>
      <c r="G29" s="26"/>
    </row>
    <row r="30" customFormat="false" ht="15" hidden="false" customHeight="false" outlineLevel="0" collapsed="false">
      <c r="A30" s="22" t="n">
        <v>45772</v>
      </c>
      <c r="B30" s="23" t="s">
        <v>51</v>
      </c>
      <c r="C30" s="24"/>
      <c r="D30" s="25"/>
      <c r="E30" s="10" t="n">
        <f aca="false">IF(WEEKDAY(A30,2)&lt;=5,Übersicht!$B$4,0)</f>
        <v>8</v>
      </c>
      <c r="F30" s="10" t="str">
        <f aca="false">IF(OR(C30="U",C30="K",C30="F",C30="G"),IF(D30="",0,D30),IF(D30="","",D30-E30))</f>
        <v/>
      </c>
      <c r="G30" s="26"/>
    </row>
    <row r="31" customFormat="false" ht="15" hidden="false" customHeight="false" outlineLevel="0" collapsed="false">
      <c r="A31" s="16" t="n">
        <v>45773</v>
      </c>
      <c r="B31" s="17" t="s">
        <v>45</v>
      </c>
      <c r="C31" s="18"/>
      <c r="D31" s="19"/>
      <c r="E31" s="20" t="n">
        <f aca="false">IF(WEEKDAY(A31,2)&lt;=5,Übersicht!$B$4,0)</f>
        <v>0</v>
      </c>
      <c r="F31" s="20" t="str">
        <f aca="false">IF(OR(C31="U",C31="K",C31="F",C31="G"),IF(D31="",0,D31),IF(D31="","",D31-E31))</f>
        <v/>
      </c>
      <c r="G31" s="21"/>
    </row>
    <row r="32" customFormat="false" ht="15" hidden="false" customHeight="false" outlineLevel="0" collapsed="false">
      <c r="A32" s="16" t="n">
        <v>45774</v>
      </c>
      <c r="B32" s="17" t="s">
        <v>46</v>
      </c>
      <c r="C32" s="18"/>
      <c r="D32" s="19"/>
      <c r="E32" s="20" t="n">
        <f aca="false">IF(WEEKDAY(A32,2)&lt;=5,Übersicht!$B$4,0)</f>
        <v>0</v>
      </c>
      <c r="F32" s="20" t="str">
        <f aca="false">IF(OR(C32="U",C32="K",C32="F",C32="G"),IF(D32="",0,D32),IF(D32="","",D32-E32))</f>
        <v/>
      </c>
      <c r="G32" s="21"/>
    </row>
    <row r="33" customFormat="false" ht="15" hidden="false" customHeight="false" outlineLevel="0" collapsed="false">
      <c r="A33" s="22" t="n">
        <v>45775</v>
      </c>
      <c r="B33" s="23" t="s">
        <v>47</v>
      </c>
      <c r="C33" s="24"/>
      <c r="D33" s="25"/>
      <c r="E33" s="10" t="n">
        <f aca="false">IF(WEEKDAY(A33,2)&lt;=5,Übersicht!$B$4,0)</f>
        <v>8</v>
      </c>
      <c r="F33" s="10" t="str">
        <f aca="false">IF(OR(C33="U",C33="K",C33="F",C33="G"),IF(D33="",0,D33),IF(D33="","",D33-E33))</f>
        <v/>
      </c>
      <c r="G33" s="26"/>
    </row>
    <row r="34" customFormat="false" ht="15" hidden="false" customHeight="false" outlineLevel="0" collapsed="false">
      <c r="A34" s="22" t="n">
        <v>45776</v>
      </c>
      <c r="B34" s="23" t="s">
        <v>48</v>
      </c>
      <c r="C34" s="24"/>
      <c r="D34" s="25"/>
      <c r="E34" s="10" t="n">
        <f aca="false">IF(WEEKDAY(A34,2)&lt;=5,Übersicht!$B$4,0)</f>
        <v>8</v>
      </c>
      <c r="F34" s="10" t="str">
        <f aca="false">IF(OR(C34="U",C34="K",C34="F",C34="G"),IF(D34="",0,D34),IF(D34="","",D34-E34))</f>
        <v/>
      </c>
      <c r="G34" s="26"/>
    </row>
    <row r="35" customFormat="false" ht="15" hidden="false" customHeight="false" outlineLevel="0" collapsed="false">
      <c r="A35" s="22" t="n">
        <v>45777</v>
      </c>
      <c r="B35" s="23" t="s">
        <v>49</v>
      </c>
      <c r="C35" s="24"/>
      <c r="D35" s="25"/>
      <c r="E35" s="10" t="n">
        <f aca="false">IF(WEEKDAY(A35,2)&lt;=5,Übersicht!$B$4,0)</f>
        <v>8</v>
      </c>
      <c r="F35" s="10" t="str">
        <f aca="false">IF(OR(C35="U",C35="K",C35="F",C35="G"),IF(D35="",0,D35),IF(D35="","",D35-E35))</f>
        <v/>
      </c>
      <c r="G35" s="26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16</v>
      </c>
      <c r="E38" s="12" t="n">
        <f aca="false">SUM(E6:E36)</f>
        <v>176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22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Übersicht!F18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5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D34" activeCellId="0" sqref="D3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59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22" t="n">
        <v>45778</v>
      </c>
      <c r="B6" s="23" t="s">
        <v>50</v>
      </c>
      <c r="C6" s="24" t="s">
        <v>56</v>
      </c>
      <c r="D6" s="25"/>
      <c r="E6" s="10" t="n">
        <f aca="false">IF(WEEKDAY(A6,2)&lt;=5,Übersicht!$B$4,0)</f>
        <v>8</v>
      </c>
      <c r="F6" s="10" t="n">
        <f aca="false">IF(OR(C6="U",C6="K",C6="F",C6="G"),IF(D6="",0,D6),IF(D6="","",D6-E6))</f>
        <v>0</v>
      </c>
      <c r="G6" s="26" t="s">
        <v>60</v>
      </c>
    </row>
    <row r="7" customFormat="false" ht="15" hidden="false" customHeight="false" outlineLevel="0" collapsed="false">
      <c r="A7" s="22" t="n">
        <v>45779</v>
      </c>
      <c r="B7" s="23" t="s">
        <v>51</v>
      </c>
      <c r="C7" s="24"/>
      <c r="D7" s="25"/>
      <c r="E7" s="10" t="n">
        <f aca="false">IF(WEEKDAY(A7,2)&lt;=5,Übersicht!$B$4,0)</f>
        <v>8</v>
      </c>
      <c r="F7" s="10" t="str">
        <f aca="false">IF(OR(C7="U",C7="K",C7="F",C7="G"),IF(D7="",0,D7),IF(D7="","",D7-E7))</f>
        <v/>
      </c>
      <c r="G7" s="26"/>
    </row>
    <row r="8" customFormat="false" ht="15" hidden="false" customHeight="false" outlineLevel="0" collapsed="false">
      <c r="A8" s="16" t="n">
        <v>45780</v>
      </c>
      <c r="B8" s="17" t="s">
        <v>45</v>
      </c>
      <c r="C8" s="18"/>
      <c r="D8" s="19"/>
      <c r="E8" s="20" t="n">
        <f aca="false">IF(WEEKDAY(A8,2)&lt;=5,Übersicht!$B$4,0)</f>
        <v>0</v>
      </c>
      <c r="F8" s="20" t="str">
        <f aca="false">IF(OR(C8="U",C8="K",C8="F",C8="G"),IF(D8="",0,D8),IF(D8="","",D8-E8))</f>
        <v/>
      </c>
      <c r="G8" s="21"/>
    </row>
    <row r="9" customFormat="false" ht="15" hidden="false" customHeight="false" outlineLevel="0" collapsed="false">
      <c r="A9" s="16" t="n">
        <v>45781</v>
      </c>
      <c r="B9" s="17" t="s">
        <v>46</v>
      </c>
      <c r="C9" s="18"/>
      <c r="D9" s="19"/>
      <c r="E9" s="20" t="n">
        <f aca="false">IF(WEEKDAY(A9,2)&lt;=5,Übersicht!$B$4,0)</f>
        <v>0</v>
      </c>
      <c r="F9" s="20" t="str">
        <f aca="false">IF(OR(C9="U",C9="K",C9="F",C9="G"),IF(D9="",0,D9),IF(D9="","",D9-E9))</f>
        <v/>
      </c>
      <c r="G9" s="21"/>
    </row>
    <row r="10" customFormat="false" ht="15" hidden="false" customHeight="false" outlineLevel="0" collapsed="false">
      <c r="A10" s="22" t="n">
        <v>45782</v>
      </c>
      <c r="B10" s="23" t="s">
        <v>47</v>
      </c>
      <c r="C10" s="24"/>
      <c r="D10" s="25"/>
      <c r="E10" s="10" t="n">
        <f aca="false">IF(WEEKDAY(A10,2)&lt;=5,Übersicht!$B$4,0)</f>
        <v>8</v>
      </c>
      <c r="F10" s="10" t="str">
        <f aca="false">IF(OR(C10="U",C10="K",C10="F",C10="G"),IF(D10="",0,D10),IF(D10="","",D10-E10))</f>
        <v/>
      </c>
      <c r="G10" s="26"/>
    </row>
    <row r="11" customFormat="false" ht="15" hidden="false" customHeight="false" outlineLevel="0" collapsed="false">
      <c r="A11" s="22" t="n">
        <v>45783</v>
      </c>
      <c r="B11" s="23" t="s">
        <v>48</v>
      </c>
      <c r="C11" s="24"/>
      <c r="D11" s="25"/>
      <c r="E11" s="10" t="n">
        <f aca="false">IF(WEEKDAY(A11,2)&lt;=5,Übersicht!$B$4,0)</f>
        <v>8</v>
      </c>
      <c r="F11" s="10" t="str">
        <f aca="false">IF(OR(C11="U",C11="K",C11="F",C11="G"),IF(D11="",0,D11),IF(D11="","",D11-E11))</f>
        <v/>
      </c>
      <c r="G11" s="26"/>
    </row>
    <row r="12" customFormat="false" ht="15" hidden="false" customHeight="false" outlineLevel="0" collapsed="false">
      <c r="A12" s="22" t="n">
        <v>45784</v>
      </c>
      <c r="B12" s="23" t="s">
        <v>49</v>
      </c>
      <c r="C12" s="24"/>
      <c r="D12" s="25"/>
      <c r="E12" s="10" t="n">
        <f aca="false">IF(WEEKDAY(A12,2)&lt;=5,Übersicht!$B$4,0)</f>
        <v>8</v>
      </c>
      <c r="F12" s="10" t="str">
        <f aca="false">IF(OR(C12="U",C12="K",C12="F",C12="G"),IF(D12="",0,D12),IF(D12="","",D12-E12))</f>
        <v/>
      </c>
      <c r="G12" s="26"/>
    </row>
    <row r="13" customFormat="false" ht="15" hidden="false" customHeight="false" outlineLevel="0" collapsed="false">
      <c r="A13" s="22" t="n">
        <v>45785</v>
      </c>
      <c r="B13" s="23" t="s">
        <v>50</v>
      </c>
      <c r="C13" s="24"/>
      <c r="D13" s="25"/>
      <c r="E13" s="10" t="n">
        <f aca="false">IF(WEEKDAY(A13,2)&lt;=5,Übersicht!$B$4,0)</f>
        <v>8</v>
      </c>
      <c r="F13" s="10" t="str">
        <f aca="false">IF(OR(C13="U",C13="K",C13="F",C13="G"),IF(D13="",0,D13),IF(D13="","",D13-E13))</f>
        <v/>
      </c>
      <c r="G13" s="26"/>
    </row>
    <row r="14" customFormat="false" ht="15" hidden="false" customHeight="false" outlineLevel="0" collapsed="false">
      <c r="A14" s="22" t="n">
        <v>45786</v>
      </c>
      <c r="B14" s="23" t="s">
        <v>51</v>
      </c>
      <c r="C14" s="24"/>
      <c r="D14" s="25"/>
      <c r="E14" s="10" t="n">
        <f aca="false">IF(WEEKDAY(A14,2)&lt;=5,Übersicht!$B$4,0)</f>
        <v>8</v>
      </c>
      <c r="F14" s="10" t="str">
        <f aca="false">IF(OR(C14="U",C14="K",C14="F",C14="G"),IF(D14="",0,D14),IF(D14="","",D14-E14))</f>
        <v/>
      </c>
      <c r="G14" s="26"/>
    </row>
    <row r="15" customFormat="false" ht="15" hidden="false" customHeight="false" outlineLevel="0" collapsed="false">
      <c r="A15" s="16" t="n">
        <v>45787</v>
      </c>
      <c r="B15" s="17" t="s">
        <v>45</v>
      </c>
      <c r="C15" s="18"/>
      <c r="D15" s="19"/>
      <c r="E15" s="20" t="n">
        <f aca="false">IF(WEEKDAY(A15,2)&lt;=5,Übersicht!$B$4,0)</f>
        <v>0</v>
      </c>
      <c r="F15" s="20" t="str">
        <f aca="false">IF(OR(C15="U",C15="K",C15="F",C15="G"),IF(D15="",0,D15),IF(D15="","",D15-E15))</f>
        <v/>
      </c>
      <c r="G15" s="21"/>
    </row>
    <row r="16" customFormat="false" ht="15" hidden="false" customHeight="false" outlineLevel="0" collapsed="false">
      <c r="A16" s="16" t="n">
        <v>45788</v>
      </c>
      <c r="B16" s="17" t="s">
        <v>46</v>
      </c>
      <c r="C16" s="18"/>
      <c r="D16" s="19"/>
      <c r="E16" s="20" t="n">
        <f aca="false">IF(WEEKDAY(A16,2)&lt;=5,Übersicht!$B$4,0)</f>
        <v>0</v>
      </c>
      <c r="F16" s="20" t="str">
        <f aca="false">IF(OR(C16="U",C16="K",C16="F",C16="G"),IF(D16="",0,D16),IF(D16="","",D16-E16))</f>
        <v/>
      </c>
      <c r="G16" s="21"/>
    </row>
    <row r="17" customFormat="false" ht="15" hidden="false" customHeight="false" outlineLevel="0" collapsed="false">
      <c r="A17" s="22" t="n">
        <v>45789</v>
      </c>
      <c r="B17" s="23" t="s">
        <v>47</v>
      </c>
      <c r="C17" s="24"/>
      <c r="D17" s="25"/>
      <c r="E17" s="10" t="n">
        <f aca="false">IF(WEEKDAY(A17,2)&lt;=5,Übersicht!$B$4,0)</f>
        <v>8</v>
      </c>
      <c r="F17" s="10" t="str">
        <f aca="false">IF(OR(C17="U",C17="K",C17="F",C17="G"),IF(D17="",0,D17),IF(D17="","",D17-E17))</f>
        <v/>
      </c>
      <c r="G17" s="26"/>
    </row>
    <row r="18" customFormat="false" ht="15" hidden="false" customHeight="false" outlineLevel="0" collapsed="false">
      <c r="A18" s="22" t="n">
        <v>45790</v>
      </c>
      <c r="B18" s="23" t="s">
        <v>48</v>
      </c>
      <c r="C18" s="24"/>
      <c r="D18" s="25"/>
      <c r="E18" s="10" t="n">
        <f aca="false">IF(WEEKDAY(A18,2)&lt;=5,Übersicht!$B$4,0)</f>
        <v>8</v>
      </c>
      <c r="F18" s="10" t="str">
        <f aca="false">IF(OR(C18="U",C18="K",C18="F",C18="G"),IF(D18="",0,D18),IF(D18="","",D18-E18))</f>
        <v/>
      </c>
      <c r="G18" s="26"/>
    </row>
    <row r="19" customFormat="false" ht="15" hidden="false" customHeight="false" outlineLevel="0" collapsed="false">
      <c r="A19" s="22" t="n">
        <v>45791</v>
      </c>
      <c r="B19" s="23" t="s">
        <v>49</v>
      </c>
      <c r="C19" s="24"/>
      <c r="D19" s="25"/>
      <c r="E19" s="10" t="n">
        <f aca="false">IF(WEEKDAY(A19,2)&lt;=5,Übersicht!$B$4,0)</f>
        <v>8</v>
      </c>
      <c r="F19" s="10" t="str">
        <f aca="false">IF(OR(C19="U",C19="K",C19="F",C19="G"),IF(D19="",0,D19),IF(D19="","",D19-E19))</f>
        <v/>
      </c>
      <c r="G19" s="26"/>
    </row>
    <row r="20" customFormat="false" ht="15" hidden="false" customHeight="false" outlineLevel="0" collapsed="false">
      <c r="A20" s="22" t="n">
        <v>45792</v>
      </c>
      <c r="B20" s="23" t="s">
        <v>50</v>
      </c>
      <c r="C20" s="24"/>
      <c r="D20" s="25"/>
      <c r="E20" s="10" t="n">
        <f aca="false">IF(WEEKDAY(A20,2)&lt;=5,Übersicht!$B$4,0)</f>
        <v>8</v>
      </c>
      <c r="F20" s="10" t="str">
        <f aca="false">IF(OR(C20="U",C20="K",C20="F",C20="G"),IF(D20="",0,D20),IF(D20="","",D20-E20))</f>
        <v/>
      </c>
      <c r="G20" s="26"/>
    </row>
    <row r="21" customFormat="false" ht="15" hidden="false" customHeight="false" outlineLevel="0" collapsed="false">
      <c r="A21" s="22" t="n">
        <v>45793</v>
      </c>
      <c r="B21" s="23" t="s">
        <v>51</v>
      </c>
      <c r="C21" s="24"/>
      <c r="D21" s="25"/>
      <c r="E21" s="10" t="n">
        <f aca="false">IF(WEEKDAY(A21,2)&lt;=5,Übersicht!$B$4,0)</f>
        <v>8</v>
      </c>
      <c r="F21" s="10" t="str">
        <f aca="false">IF(OR(C21="U",C21="K",C21="F",C21="G"),IF(D21="",0,D21),IF(D21="","",D21-E21))</f>
        <v/>
      </c>
      <c r="G21" s="26"/>
    </row>
    <row r="22" customFormat="false" ht="15" hidden="false" customHeight="false" outlineLevel="0" collapsed="false">
      <c r="A22" s="16" t="n">
        <v>45794</v>
      </c>
      <c r="B22" s="17" t="s">
        <v>45</v>
      </c>
      <c r="C22" s="18"/>
      <c r="D22" s="19"/>
      <c r="E22" s="20" t="n">
        <f aca="false">IF(WEEKDAY(A22,2)&lt;=5,Übersicht!$B$4,0)</f>
        <v>0</v>
      </c>
      <c r="F22" s="20" t="str">
        <f aca="false">IF(OR(C22="U",C22="K",C22="F",C22="G"),IF(D22="",0,D22),IF(D22="","",D22-E22))</f>
        <v/>
      </c>
      <c r="G22" s="21"/>
    </row>
    <row r="23" customFormat="false" ht="15" hidden="false" customHeight="false" outlineLevel="0" collapsed="false">
      <c r="A23" s="16" t="n">
        <v>45795</v>
      </c>
      <c r="B23" s="17" t="s">
        <v>46</v>
      </c>
      <c r="C23" s="18"/>
      <c r="D23" s="19"/>
      <c r="E23" s="20" t="n">
        <f aca="false">IF(WEEKDAY(A23,2)&lt;=5,Übersicht!$B$4,0)</f>
        <v>0</v>
      </c>
      <c r="F23" s="20" t="str">
        <f aca="false">IF(OR(C23="U",C23="K",C23="F",C23="G"),IF(D23="",0,D23),IF(D23="","",D23-E23))</f>
        <v/>
      </c>
      <c r="G23" s="21"/>
    </row>
    <row r="24" customFormat="false" ht="15" hidden="false" customHeight="false" outlineLevel="0" collapsed="false">
      <c r="A24" s="22" t="n">
        <v>45796</v>
      </c>
      <c r="B24" s="23" t="s">
        <v>47</v>
      </c>
      <c r="C24" s="24"/>
      <c r="D24" s="25"/>
      <c r="E24" s="10" t="n">
        <f aca="false">IF(WEEKDAY(A24,2)&lt;=5,Übersicht!$B$4,0)</f>
        <v>8</v>
      </c>
      <c r="F24" s="10" t="str">
        <f aca="false">IF(OR(C24="U",C24="K",C24="F",C24="G"),IF(D24="",0,D24),IF(D24="","",D24-E24))</f>
        <v/>
      </c>
      <c r="G24" s="26"/>
    </row>
    <row r="25" customFormat="false" ht="15" hidden="false" customHeight="false" outlineLevel="0" collapsed="false">
      <c r="A25" s="22" t="n">
        <v>45797</v>
      </c>
      <c r="B25" s="23" t="s">
        <v>48</v>
      </c>
      <c r="C25" s="24"/>
      <c r="D25" s="25"/>
      <c r="E25" s="10" t="n">
        <f aca="false">IF(WEEKDAY(A25,2)&lt;=5,Übersicht!$B$4,0)</f>
        <v>8</v>
      </c>
      <c r="F25" s="10" t="str">
        <f aca="false">IF(OR(C25="U",C25="K",C25="F",C25="G"),IF(D25="",0,D25),IF(D25="","",D25-E25))</f>
        <v/>
      </c>
      <c r="G25" s="26"/>
    </row>
    <row r="26" customFormat="false" ht="15" hidden="false" customHeight="false" outlineLevel="0" collapsed="false">
      <c r="A26" s="22" t="n">
        <v>45798</v>
      </c>
      <c r="B26" s="23" t="s">
        <v>49</v>
      </c>
      <c r="C26" s="24"/>
      <c r="D26" s="25"/>
      <c r="E26" s="10" t="n">
        <f aca="false">IF(WEEKDAY(A26,2)&lt;=5,Übersicht!$B$4,0)</f>
        <v>8</v>
      </c>
      <c r="F26" s="10" t="str">
        <f aca="false">IF(OR(C26="U",C26="K",C26="F",C26="G"),IF(D26="",0,D26),IF(D26="","",D26-E26))</f>
        <v/>
      </c>
      <c r="G26" s="26"/>
    </row>
    <row r="27" customFormat="false" ht="15" hidden="false" customHeight="false" outlineLevel="0" collapsed="false">
      <c r="A27" s="22" t="n">
        <v>45799</v>
      </c>
      <c r="B27" s="23" t="s">
        <v>50</v>
      </c>
      <c r="C27" s="24"/>
      <c r="D27" s="25"/>
      <c r="E27" s="10" t="n">
        <f aca="false">IF(WEEKDAY(A27,2)&lt;=5,Übersicht!$B$4,0)</f>
        <v>8</v>
      </c>
      <c r="F27" s="10" t="str">
        <f aca="false">IF(OR(C27="U",C27="K",C27="F",C27="G"),IF(D27="",0,D27),IF(D27="","",D27-E27))</f>
        <v/>
      </c>
      <c r="G27" s="26"/>
    </row>
    <row r="28" customFormat="false" ht="15" hidden="false" customHeight="false" outlineLevel="0" collapsed="false">
      <c r="A28" s="22" t="n">
        <v>45800</v>
      </c>
      <c r="B28" s="23" t="s">
        <v>51</v>
      </c>
      <c r="C28" s="24"/>
      <c r="D28" s="25"/>
      <c r="E28" s="10" t="n">
        <f aca="false">IF(WEEKDAY(A28,2)&lt;=5,Übersicht!$B$4,0)</f>
        <v>8</v>
      </c>
      <c r="F28" s="10" t="str">
        <f aca="false">IF(OR(C28="U",C28="K",C28="F",C28="G"),IF(D28="",0,D28),IF(D28="","",D28-E28))</f>
        <v/>
      </c>
      <c r="G28" s="26"/>
    </row>
    <row r="29" customFormat="false" ht="15" hidden="false" customHeight="false" outlineLevel="0" collapsed="false">
      <c r="A29" s="16" t="n">
        <v>45801</v>
      </c>
      <c r="B29" s="17" t="s">
        <v>45</v>
      </c>
      <c r="C29" s="18"/>
      <c r="D29" s="19"/>
      <c r="E29" s="20" t="n">
        <f aca="false">IF(WEEKDAY(A29,2)&lt;=5,Übersicht!$B$4,0)</f>
        <v>0</v>
      </c>
      <c r="F29" s="20" t="str">
        <f aca="false">IF(OR(C29="U",C29="K",C29="F",C29="G"),IF(D29="",0,D29),IF(D29="","",D29-E29))</f>
        <v/>
      </c>
      <c r="G29" s="21"/>
    </row>
    <row r="30" customFormat="false" ht="15" hidden="false" customHeight="false" outlineLevel="0" collapsed="false">
      <c r="A30" s="16" t="n">
        <v>45802</v>
      </c>
      <c r="B30" s="17" t="s">
        <v>46</v>
      </c>
      <c r="C30" s="18"/>
      <c r="D30" s="19"/>
      <c r="E30" s="20" t="n">
        <f aca="false">IF(WEEKDAY(A30,2)&lt;=5,Übersicht!$B$4,0)</f>
        <v>0</v>
      </c>
      <c r="F30" s="20" t="str">
        <f aca="false">IF(OR(C30="U",C30="K",C30="F",C30="G"),IF(D30="",0,D30),IF(D30="","",D30-E30))</f>
        <v/>
      </c>
      <c r="G30" s="21"/>
    </row>
    <row r="31" customFormat="false" ht="15" hidden="false" customHeight="false" outlineLevel="0" collapsed="false">
      <c r="A31" s="22" t="n">
        <v>45803</v>
      </c>
      <c r="B31" s="23" t="s">
        <v>47</v>
      </c>
      <c r="C31" s="24"/>
      <c r="D31" s="25"/>
      <c r="E31" s="10" t="n">
        <f aca="false">IF(WEEKDAY(A31,2)&lt;=5,Übersicht!$B$4,0)</f>
        <v>8</v>
      </c>
      <c r="F31" s="10" t="str">
        <f aca="false">IF(OR(C31="U",C31="K",C31="F",C31="G"),IF(D31="",0,D31),IF(D31="","",D31-E31))</f>
        <v/>
      </c>
      <c r="G31" s="26"/>
    </row>
    <row r="32" customFormat="false" ht="15" hidden="false" customHeight="false" outlineLevel="0" collapsed="false">
      <c r="A32" s="22" t="n">
        <v>45804</v>
      </c>
      <c r="B32" s="23" t="s">
        <v>48</v>
      </c>
      <c r="C32" s="24"/>
      <c r="D32" s="25"/>
      <c r="E32" s="10" t="n">
        <f aca="false">IF(WEEKDAY(A32,2)&lt;=5,Übersicht!$B$4,0)</f>
        <v>8</v>
      </c>
      <c r="F32" s="10" t="str">
        <f aca="false">IF(OR(C32="U",C32="K",C32="F",C32="G"),IF(D32="",0,D32),IF(D32="","",D32-E32))</f>
        <v/>
      </c>
      <c r="G32" s="26"/>
    </row>
    <row r="33" customFormat="false" ht="15" hidden="false" customHeight="false" outlineLevel="0" collapsed="false">
      <c r="A33" s="22" t="n">
        <v>45805</v>
      </c>
      <c r="B33" s="23" t="s">
        <v>49</v>
      </c>
      <c r="C33" s="24"/>
      <c r="D33" s="25"/>
      <c r="E33" s="10" t="n">
        <f aca="false">IF(WEEKDAY(A33,2)&lt;=5,Übersicht!$B$4,0)</f>
        <v>8</v>
      </c>
      <c r="F33" s="10" t="str">
        <f aca="false">IF(OR(C33="U",C33="K",C33="F",C33="G"),IF(D33="",0,D33),IF(D33="","",D33-E33))</f>
        <v/>
      </c>
      <c r="G33" s="26"/>
    </row>
    <row r="34" customFormat="false" ht="15" hidden="false" customHeight="false" outlineLevel="0" collapsed="false">
      <c r="A34" s="22" t="n">
        <v>45806</v>
      </c>
      <c r="B34" s="23" t="s">
        <v>50</v>
      </c>
      <c r="C34" s="24" t="s">
        <v>56</v>
      </c>
      <c r="D34" s="25"/>
      <c r="E34" s="10" t="n">
        <f aca="false">IF(WEEKDAY(A34,2)&lt;=5,Übersicht!$B$4,0)</f>
        <v>8</v>
      </c>
      <c r="F34" s="10" t="n">
        <f aca="false">IF(OR(C34="U",C34="K",C34="F",C34="G"),IF(D34="",0,D34),IF(D34="","",D34-E34))</f>
        <v>0</v>
      </c>
      <c r="G34" s="26" t="s">
        <v>61</v>
      </c>
    </row>
    <row r="35" customFormat="false" ht="15" hidden="false" customHeight="false" outlineLevel="0" collapsed="false">
      <c r="A35" s="22" t="n">
        <v>45807</v>
      </c>
      <c r="B35" s="23" t="s">
        <v>51</v>
      </c>
      <c r="C35" s="24"/>
      <c r="D35" s="25"/>
      <c r="E35" s="10" t="n">
        <f aca="false">IF(WEEKDAY(A35,2)&lt;=5,Übersicht!$B$4,0)</f>
        <v>8</v>
      </c>
      <c r="F35" s="10" t="str">
        <f aca="false">IF(OR(C35="U",C35="K",C35="F",C35="G"),IF(D35="",0,D35),IF(D35="","",D35-E35))</f>
        <v/>
      </c>
      <c r="G35" s="26"/>
    </row>
    <row r="36" customFormat="false" ht="15" hidden="false" customHeight="false" outlineLevel="0" collapsed="false">
      <c r="A36" s="16" t="n">
        <v>45808</v>
      </c>
      <c r="B36" s="17" t="s">
        <v>45</v>
      </c>
      <c r="C36" s="18"/>
      <c r="D36" s="19"/>
      <c r="E36" s="20" t="n">
        <f aca="false">IF(WEEKDAY(A36,2)&lt;=5,Übersicht!$B$4,0)</f>
        <v>0</v>
      </c>
      <c r="F36" s="20" t="str">
        <f aca="false">IF(OR(C36="U",C36="K",C36="F",C36="G"),IF(D36="",0,D36),IF(D36="","",D36-E36))</f>
        <v/>
      </c>
      <c r="G36" s="21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16</v>
      </c>
      <c r="E38" s="12" t="n">
        <f aca="false">SUM(E6:E36)</f>
        <v>176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22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Übersicht!F19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6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2" activeCellId="0" sqref="B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62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16" t="n">
        <v>45809</v>
      </c>
      <c r="B6" s="17" t="s">
        <v>46</v>
      </c>
      <c r="C6" s="18"/>
      <c r="D6" s="19"/>
      <c r="E6" s="20" t="n">
        <f aca="false">IF(WEEKDAY(A6,2)&lt;=5,Übersicht!$B$4,0)</f>
        <v>0</v>
      </c>
      <c r="F6" s="20" t="str">
        <f aca="false">IF(OR(C6="U",C6="K",C6="F",C6="G"),IF(D6="",0,D6),IF(D6="","",D6-E6))</f>
        <v/>
      </c>
      <c r="G6" s="21"/>
    </row>
    <row r="7" customFormat="false" ht="15" hidden="false" customHeight="false" outlineLevel="0" collapsed="false">
      <c r="A7" s="22" t="n">
        <v>45810</v>
      </c>
      <c r="B7" s="23" t="s">
        <v>47</v>
      </c>
      <c r="C7" s="24"/>
      <c r="D7" s="25"/>
      <c r="E7" s="10" t="n">
        <f aca="false">IF(WEEKDAY(A7,2)&lt;=5,Übersicht!$B$4,0)</f>
        <v>8</v>
      </c>
      <c r="F7" s="10" t="str">
        <f aca="false">IF(OR(C7="U",C7="K",C7="F",C7="G"),IF(D7="",0,D7),IF(D7="","",D7-E7))</f>
        <v/>
      </c>
      <c r="G7" s="26"/>
    </row>
    <row r="8" customFormat="false" ht="15" hidden="false" customHeight="false" outlineLevel="0" collapsed="false">
      <c r="A8" s="22" t="n">
        <v>45811</v>
      </c>
      <c r="B8" s="23" t="s">
        <v>48</v>
      </c>
      <c r="C8" s="24"/>
      <c r="D8" s="25"/>
      <c r="E8" s="10" t="n">
        <f aca="false">IF(WEEKDAY(A8,2)&lt;=5,Übersicht!$B$4,0)</f>
        <v>8</v>
      </c>
      <c r="F8" s="10" t="str">
        <f aca="false">IF(OR(C8="U",C8="K",C8="F",C8="G"),IF(D8="",0,D8),IF(D8="","",D8-E8))</f>
        <v/>
      </c>
      <c r="G8" s="26"/>
    </row>
    <row r="9" customFormat="false" ht="15" hidden="false" customHeight="false" outlineLevel="0" collapsed="false">
      <c r="A9" s="22" t="n">
        <v>45812</v>
      </c>
      <c r="B9" s="23" t="s">
        <v>49</v>
      </c>
      <c r="C9" s="24"/>
      <c r="D9" s="25"/>
      <c r="E9" s="10" t="n">
        <f aca="false">IF(WEEKDAY(A9,2)&lt;=5,Übersicht!$B$4,0)</f>
        <v>8</v>
      </c>
      <c r="F9" s="10" t="str">
        <f aca="false">IF(OR(C9="U",C9="K",C9="F",C9="G"),IF(D9="",0,D9),IF(D9="","",D9-E9))</f>
        <v/>
      </c>
      <c r="G9" s="26"/>
    </row>
    <row r="10" customFormat="false" ht="15" hidden="false" customHeight="false" outlineLevel="0" collapsed="false">
      <c r="A10" s="22" t="n">
        <v>45813</v>
      </c>
      <c r="B10" s="23" t="s">
        <v>50</v>
      </c>
      <c r="C10" s="24"/>
      <c r="D10" s="25"/>
      <c r="E10" s="10" t="n">
        <f aca="false">IF(WEEKDAY(A10,2)&lt;=5,Übersicht!$B$4,0)</f>
        <v>8</v>
      </c>
      <c r="F10" s="10" t="str">
        <f aca="false">IF(OR(C10="U",C10="K",C10="F",C10="G"),IF(D10="",0,D10),IF(D10="","",D10-E10))</f>
        <v/>
      </c>
      <c r="G10" s="26"/>
    </row>
    <row r="11" customFormat="false" ht="15" hidden="false" customHeight="false" outlineLevel="0" collapsed="false">
      <c r="A11" s="22" t="n">
        <v>45814</v>
      </c>
      <c r="B11" s="23" t="s">
        <v>51</v>
      </c>
      <c r="C11" s="24"/>
      <c r="D11" s="25"/>
      <c r="E11" s="10" t="n">
        <f aca="false">IF(WEEKDAY(A11,2)&lt;=5,Übersicht!$B$4,0)</f>
        <v>8</v>
      </c>
      <c r="F11" s="10" t="str">
        <f aca="false">IF(OR(C11="U",C11="K",C11="F",C11="G"),IF(D11="",0,D11),IF(D11="","",D11-E11))</f>
        <v/>
      </c>
      <c r="G11" s="26"/>
    </row>
    <row r="12" customFormat="false" ht="15" hidden="false" customHeight="false" outlineLevel="0" collapsed="false">
      <c r="A12" s="16" t="n">
        <v>45815</v>
      </c>
      <c r="B12" s="17" t="s">
        <v>45</v>
      </c>
      <c r="C12" s="18"/>
      <c r="D12" s="19"/>
      <c r="E12" s="20" t="n">
        <f aca="false">IF(WEEKDAY(A12,2)&lt;=5,Übersicht!$B$4,0)</f>
        <v>0</v>
      </c>
      <c r="F12" s="20" t="str">
        <f aca="false">IF(OR(C12="U",C12="K",C12="F",C12="G"),IF(D12="",0,D12),IF(D12="","",D12-E12))</f>
        <v/>
      </c>
      <c r="G12" s="21"/>
    </row>
    <row r="13" customFormat="false" ht="15" hidden="false" customHeight="false" outlineLevel="0" collapsed="false">
      <c r="A13" s="16" t="n">
        <v>45816</v>
      </c>
      <c r="B13" s="17" t="s">
        <v>46</v>
      </c>
      <c r="C13" s="18"/>
      <c r="D13" s="19"/>
      <c r="E13" s="20" t="n">
        <f aca="false">IF(WEEKDAY(A13,2)&lt;=5,Übersicht!$B$4,0)</f>
        <v>0</v>
      </c>
      <c r="F13" s="20" t="str">
        <f aca="false">IF(OR(C13="U",C13="K",C13="F",C13="G"),IF(D13="",0,D13),IF(D13="","",D13-E13))</f>
        <v/>
      </c>
      <c r="G13" s="21"/>
    </row>
    <row r="14" customFormat="false" ht="15" hidden="false" customHeight="false" outlineLevel="0" collapsed="false">
      <c r="A14" s="22" t="n">
        <v>45817</v>
      </c>
      <c r="B14" s="23" t="s">
        <v>47</v>
      </c>
      <c r="C14" s="24" t="s">
        <v>56</v>
      </c>
      <c r="D14" s="25"/>
      <c r="E14" s="10" t="n">
        <f aca="false">IF(WEEKDAY(A14,2)&lt;=5,Übersicht!$B$4,0)</f>
        <v>8</v>
      </c>
      <c r="F14" s="10" t="n">
        <f aca="false">IF(OR(C14="U",C14="K",C14="F",C14="G"),IF(D14="",0,D14),IF(D14="","",D14-E14))</f>
        <v>0</v>
      </c>
      <c r="G14" s="26" t="s">
        <v>63</v>
      </c>
    </row>
    <row r="15" customFormat="false" ht="15" hidden="false" customHeight="false" outlineLevel="0" collapsed="false">
      <c r="A15" s="22" t="n">
        <v>45818</v>
      </c>
      <c r="B15" s="23" t="s">
        <v>48</v>
      </c>
      <c r="C15" s="24"/>
      <c r="D15" s="25"/>
      <c r="E15" s="10" t="n">
        <f aca="false">IF(WEEKDAY(A15,2)&lt;=5,Übersicht!$B$4,0)</f>
        <v>8</v>
      </c>
      <c r="F15" s="10" t="str">
        <f aca="false">IF(OR(C15="U",C15="K",C15="F",C15="G"),IF(D15="",0,D15),IF(D15="","",D15-E15))</f>
        <v/>
      </c>
      <c r="G15" s="26"/>
    </row>
    <row r="16" customFormat="false" ht="15" hidden="false" customHeight="false" outlineLevel="0" collapsed="false">
      <c r="A16" s="22" t="n">
        <v>45819</v>
      </c>
      <c r="B16" s="23" t="s">
        <v>49</v>
      </c>
      <c r="C16" s="24"/>
      <c r="D16" s="25"/>
      <c r="E16" s="10" t="n">
        <f aca="false">IF(WEEKDAY(A16,2)&lt;=5,Übersicht!$B$4,0)</f>
        <v>8</v>
      </c>
      <c r="F16" s="10" t="str">
        <f aca="false">IF(OR(C16="U",C16="K",C16="F",C16="G"),IF(D16="",0,D16),IF(D16="","",D16-E16))</f>
        <v/>
      </c>
      <c r="G16" s="26"/>
    </row>
    <row r="17" customFormat="false" ht="15" hidden="false" customHeight="false" outlineLevel="0" collapsed="false">
      <c r="A17" s="22" t="n">
        <v>45820</v>
      </c>
      <c r="B17" s="23" t="s">
        <v>50</v>
      </c>
      <c r="C17" s="24"/>
      <c r="D17" s="25"/>
      <c r="E17" s="10" t="n">
        <f aca="false">IF(WEEKDAY(A17,2)&lt;=5,Übersicht!$B$4,0)</f>
        <v>8</v>
      </c>
      <c r="F17" s="10" t="str">
        <f aca="false">IF(OR(C17="U",C17="K",C17="F",C17="G"),IF(D17="",0,D17),IF(D17="","",D17-E17))</f>
        <v/>
      </c>
      <c r="G17" s="26"/>
    </row>
    <row r="18" customFormat="false" ht="15" hidden="false" customHeight="false" outlineLevel="0" collapsed="false">
      <c r="A18" s="22" t="n">
        <v>45821</v>
      </c>
      <c r="B18" s="23" t="s">
        <v>51</v>
      </c>
      <c r="C18" s="24"/>
      <c r="D18" s="25"/>
      <c r="E18" s="10" t="n">
        <f aca="false">IF(WEEKDAY(A18,2)&lt;=5,Übersicht!$B$4,0)</f>
        <v>8</v>
      </c>
      <c r="F18" s="10" t="str">
        <f aca="false">IF(OR(C18="U",C18="K",C18="F",C18="G"),IF(D18="",0,D18),IF(D18="","",D18-E18))</f>
        <v/>
      </c>
      <c r="G18" s="26"/>
    </row>
    <row r="19" customFormat="false" ht="15" hidden="false" customHeight="false" outlineLevel="0" collapsed="false">
      <c r="A19" s="16" t="n">
        <v>45822</v>
      </c>
      <c r="B19" s="17" t="s">
        <v>45</v>
      </c>
      <c r="C19" s="18"/>
      <c r="D19" s="19"/>
      <c r="E19" s="20" t="n">
        <f aca="false">IF(WEEKDAY(A19,2)&lt;=5,Übersicht!$B$4,0)</f>
        <v>0</v>
      </c>
      <c r="F19" s="20" t="str">
        <f aca="false">IF(OR(C19="U",C19="K",C19="F",C19="G"),IF(D19="",0,D19),IF(D19="","",D19-E19))</f>
        <v/>
      </c>
      <c r="G19" s="21"/>
    </row>
    <row r="20" customFormat="false" ht="15" hidden="false" customHeight="false" outlineLevel="0" collapsed="false">
      <c r="A20" s="16" t="n">
        <v>45823</v>
      </c>
      <c r="B20" s="17" t="s">
        <v>46</v>
      </c>
      <c r="C20" s="18"/>
      <c r="D20" s="19"/>
      <c r="E20" s="20" t="n">
        <f aca="false">IF(WEEKDAY(A20,2)&lt;=5,Übersicht!$B$4,0)</f>
        <v>0</v>
      </c>
      <c r="F20" s="20" t="str">
        <f aca="false">IF(OR(C20="U",C20="K",C20="F",C20="G"),IF(D20="",0,D20),IF(D20="","",D20-E20))</f>
        <v/>
      </c>
      <c r="G20" s="21"/>
    </row>
    <row r="21" customFormat="false" ht="15" hidden="false" customHeight="false" outlineLevel="0" collapsed="false">
      <c r="A21" s="22" t="n">
        <v>45824</v>
      </c>
      <c r="B21" s="23" t="s">
        <v>47</v>
      </c>
      <c r="C21" s="24"/>
      <c r="D21" s="25"/>
      <c r="E21" s="10" t="n">
        <f aca="false">IF(WEEKDAY(A21,2)&lt;=5,Übersicht!$B$4,0)</f>
        <v>8</v>
      </c>
      <c r="F21" s="10" t="str">
        <f aca="false">IF(OR(C21="U",C21="K",C21="F",C21="G"),IF(D21="",0,D21),IF(D21="","",D21-E21))</f>
        <v/>
      </c>
      <c r="G21" s="26"/>
    </row>
    <row r="22" customFormat="false" ht="15" hidden="false" customHeight="false" outlineLevel="0" collapsed="false">
      <c r="A22" s="22" t="n">
        <v>45825</v>
      </c>
      <c r="B22" s="23" t="s">
        <v>48</v>
      </c>
      <c r="C22" s="24"/>
      <c r="D22" s="25"/>
      <c r="E22" s="10" t="n">
        <f aca="false">IF(WEEKDAY(A22,2)&lt;=5,Übersicht!$B$4,0)</f>
        <v>8</v>
      </c>
      <c r="F22" s="10" t="str">
        <f aca="false">IF(OR(C22="U",C22="K",C22="F",C22="G"),IF(D22="",0,D22),IF(D22="","",D22-E22))</f>
        <v/>
      </c>
      <c r="G22" s="26"/>
    </row>
    <row r="23" customFormat="false" ht="15" hidden="false" customHeight="false" outlineLevel="0" collapsed="false">
      <c r="A23" s="22" t="n">
        <v>45826</v>
      </c>
      <c r="B23" s="23" t="s">
        <v>49</v>
      </c>
      <c r="C23" s="24"/>
      <c r="D23" s="25"/>
      <c r="E23" s="10" t="n">
        <f aca="false">IF(WEEKDAY(A23,2)&lt;=5,Übersicht!$B$4,0)</f>
        <v>8</v>
      </c>
      <c r="F23" s="10" t="str">
        <f aca="false">IF(OR(C23="U",C23="K",C23="F",C23="G"),IF(D23="",0,D23),IF(D23="","",D23-E23))</f>
        <v/>
      </c>
      <c r="G23" s="26"/>
    </row>
    <row r="24" customFormat="false" ht="15" hidden="false" customHeight="false" outlineLevel="0" collapsed="false">
      <c r="A24" s="22" t="n">
        <v>45827</v>
      </c>
      <c r="B24" s="23" t="s">
        <v>50</v>
      </c>
      <c r="C24" s="24" t="s">
        <v>56</v>
      </c>
      <c r="D24" s="25"/>
      <c r="E24" s="10" t="n">
        <f aca="false">IF(WEEKDAY(A24,2)&lt;=5,Übersicht!$B$4,0)</f>
        <v>8</v>
      </c>
      <c r="F24" s="10" t="n">
        <f aca="false">IF(OR(C24="U",C24="K",C24="F",C24="G"),IF(D24="",0,D24),IF(D24="","",D24-E24))</f>
        <v>0</v>
      </c>
      <c r="G24" s="26" t="s">
        <v>64</v>
      </c>
    </row>
    <row r="25" customFormat="false" ht="15" hidden="false" customHeight="false" outlineLevel="0" collapsed="false">
      <c r="A25" s="22" t="n">
        <v>45828</v>
      </c>
      <c r="B25" s="23" t="s">
        <v>51</v>
      </c>
      <c r="C25" s="24"/>
      <c r="D25" s="25"/>
      <c r="E25" s="10" t="n">
        <f aca="false">IF(WEEKDAY(A25,2)&lt;=5,Übersicht!$B$4,0)</f>
        <v>8</v>
      </c>
      <c r="F25" s="10" t="str">
        <f aca="false">IF(OR(C25="U",C25="K",C25="F",C25="G"),IF(D25="",0,D25),IF(D25="","",D25-E25))</f>
        <v/>
      </c>
      <c r="G25" s="26"/>
    </row>
    <row r="26" customFormat="false" ht="15" hidden="false" customHeight="false" outlineLevel="0" collapsed="false">
      <c r="A26" s="16" t="n">
        <v>45829</v>
      </c>
      <c r="B26" s="17" t="s">
        <v>45</v>
      </c>
      <c r="C26" s="18"/>
      <c r="D26" s="19"/>
      <c r="E26" s="20" t="n">
        <f aca="false">IF(WEEKDAY(A26,2)&lt;=5,Übersicht!$B$4,0)</f>
        <v>0</v>
      </c>
      <c r="F26" s="20" t="str">
        <f aca="false">IF(OR(C26="U",C26="K",C26="F",C26="G"),IF(D26="",0,D26),IF(D26="","",D26-E26))</f>
        <v/>
      </c>
      <c r="G26" s="21"/>
    </row>
    <row r="27" customFormat="false" ht="15" hidden="false" customHeight="false" outlineLevel="0" collapsed="false">
      <c r="A27" s="16" t="n">
        <v>45830</v>
      </c>
      <c r="B27" s="17" t="s">
        <v>46</v>
      </c>
      <c r="C27" s="18"/>
      <c r="D27" s="19"/>
      <c r="E27" s="20" t="n">
        <f aca="false">IF(WEEKDAY(A27,2)&lt;=5,Übersicht!$B$4,0)</f>
        <v>0</v>
      </c>
      <c r="F27" s="20" t="str">
        <f aca="false">IF(OR(C27="U",C27="K",C27="F",C27="G"),IF(D27="",0,D27),IF(D27="","",D27-E27))</f>
        <v/>
      </c>
      <c r="G27" s="21"/>
    </row>
    <row r="28" customFormat="false" ht="15" hidden="false" customHeight="false" outlineLevel="0" collapsed="false">
      <c r="A28" s="22" t="n">
        <v>45831</v>
      </c>
      <c r="B28" s="23" t="s">
        <v>47</v>
      </c>
      <c r="C28" s="24"/>
      <c r="D28" s="25"/>
      <c r="E28" s="10" t="n">
        <f aca="false">IF(WEEKDAY(A28,2)&lt;=5,Übersicht!$B$4,0)</f>
        <v>8</v>
      </c>
      <c r="F28" s="10" t="str">
        <f aca="false">IF(OR(C28="U",C28="K",C28="F",C28="G"),IF(D28="",0,D28),IF(D28="","",D28-E28))</f>
        <v/>
      </c>
      <c r="G28" s="26"/>
    </row>
    <row r="29" customFormat="false" ht="15" hidden="false" customHeight="false" outlineLevel="0" collapsed="false">
      <c r="A29" s="22" t="n">
        <v>45832</v>
      </c>
      <c r="B29" s="23" t="s">
        <v>48</v>
      </c>
      <c r="C29" s="24"/>
      <c r="D29" s="25"/>
      <c r="E29" s="10" t="n">
        <f aca="false">IF(WEEKDAY(A29,2)&lt;=5,Übersicht!$B$4,0)</f>
        <v>8</v>
      </c>
      <c r="F29" s="10" t="str">
        <f aca="false">IF(OR(C29="U",C29="K",C29="F",C29="G"),IF(D29="",0,D29),IF(D29="","",D29-E29))</f>
        <v/>
      </c>
      <c r="G29" s="26"/>
    </row>
    <row r="30" customFormat="false" ht="15" hidden="false" customHeight="false" outlineLevel="0" collapsed="false">
      <c r="A30" s="22" t="n">
        <v>45833</v>
      </c>
      <c r="B30" s="23" t="s">
        <v>49</v>
      </c>
      <c r="C30" s="24"/>
      <c r="D30" s="25"/>
      <c r="E30" s="10" t="n">
        <f aca="false">IF(WEEKDAY(A30,2)&lt;=5,Übersicht!$B$4,0)</f>
        <v>8</v>
      </c>
      <c r="F30" s="10" t="str">
        <f aca="false">IF(OR(C30="U",C30="K",C30="F",C30="G"),IF(D30="",0,D30),IF(D30="","",D30-E30))</f>
        <v/>
      </c>
      <c r="G30" s="26"/>
    </row>
    <row r="31" customFormat="false" ht="15" hidden="false" customHeight="false" outlineLevel="0" collapsed="false">
      <c r="A31" s="22" t="n">
        <v>45834</v>
      </c>
      <c r="B31" s="23" t="s">
        <v>50</v>
      </c>
      <c r="C31" s="24"/>
      <c r="D31" s="25"/>
      <c r="E31" s="10" t="n">
        <f aca="false">IF(WEEKDAY(A31,2)&lt;=5,Übersicht!$B$4,0)</f>
        <v>8</v>
      </c>
      <c r="F31" s="10" t="str">
        <f aca="false">IF(OR(C31="U",C31="K",C31="F",C31="G"),IF(D31="",0,D31),IF(D31="","",D31-E31))</f>
        <v/>
      </c>
      <c r="G31" s="26"/>
    </row>
    <row r="32" customFormat="false" ht="15" hidden="false" customHeight="false" outlineLevel="0" collapsed="false">
      <c r="A32" s="22" t="n">
        <v>45835</v>
      </c>
      <c r="B32" s="23" t="s">
        <v>51</v>
      </c>
      <c r="C32" s="24"/>
      <c r="D32" s="25"/>
      <c r="E32" s="10" t="n">
        <f aca="false">IF(WEEKDAY(A32,2)&lt;=5,Übersicht!$B$4,0)</f>
        <v>8</v>
      </c>
      <c r="F32" s="10" t="str">
        <f aca="false">IF(OR(C32="U",C32="K",C32="F",C32="G"),IF(D32="",0,D32),IF(D32="","",D32-E32))</f>
        <v/>
      </c>
      <c r="G32" s="26"/>
    </row>
    <row r="33" customFormat="false" ht="15" hidden="false" customHeight="false" outlineLevel="0" collapsed="false">
      <c r="A33" s="16" t="n">
        <v>45836</v>
      </c>
      <c r="B33" s="17" t="s">
        <v>45</v>
      </c>
      <c r="C33" s="18"/>
      <c r="D33" s="19"/>
      <c r="E33" s="20" t="n">
        <f aca="false">IF(WEEKDAY(A33,2)&lt;=5,Übersicht!$B$4,0)</f>
        <v>0</v>
      </c>
      <c r="F33" s="20" t="str">
        <f aca="false">IF(OR(C33="U",C33="K",C33="F",C33="G"),IF(D33="",0,D33),IF(D33="","",D33-E33))</f>
        <v/>
      </c>
      <c r="G33" s="21"/>
    </row>
    <row r="34" customFormat="false" ht="15" hidden="false" customHeight="false" outlineLevel="0" collapsed="false">
      <c r="A34" s="16" t="n">
        <v>45837</v>
      </c>
      <c r="B34" s="17" t="s">
        <v>46</v>
      </c>
      <c r="C34" s="18"/>
      <c r="D34" s="19"/>
      <c r="E34" s="20" t="n">
        <f aca="false">IF(WEEKDAY(A34,2)&lt;=5,Übersicht!$B$4,0)</f>
        <v>0</v>
      </c>
      <c r="F34" s="20" t="str">
        <f aca="false">IF(OR(C34="U",C34="K",C34="F",C34="G"),IF(D34="",0,D34),IF(D34="","",D34-E34))</f>
        <v/>
      </c>
      <c r="G34" s="21"/>
    </row>
    <row r="35" customFormat="false" ht="15" hidden="false" customHeight="false" outlineLevel="0" collapsed="false">
      <c r="A35" s="22" t="n">
        <v>45838</v>
      </c>
      <c r="B35" s="23" t="s">
        <v>47</v>
      </c>
      <c r="C35" s="24"/>
      <c r="D35" s="25"/>
      <c r="E35" s="10" t="n">
        <f aca="false">IF(WEEKDAY(A35,2)&lt;=5,Übersicht!$B$4,0)</f>
        <v>8</v>
      </c>
      <c r="F35" s="10" t="str">
        <f aca="false">IF(OR(C35="U",C35="K",C35="F",C35="G"),IF(D35="",0,D35),IF(D35="","",D35-E35))</f>
        <v/>
      </c>
      <c r="G35" s="26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16</v>
      </c>
      <c r="E38" s="12" t="n">
        <f aca="false">SUM(E6:E36)</f>
        <v>168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21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Übersicht!F20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5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2" activeCellId="0" sqref="B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65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22" t="n">
        <v>45839</v>
      </c>
      <c r="B6" s="23" t="s">
        <v>48</v>
      </c>
      <c r="C6" s="24"/>
      <c r="D6" s="25"/>
      <c r="E6" s="10" t="n">
        <f aca="false">IF(WEEKDAY(A6,2)&lt;=5,Übersicht!$B$4,0)</f>
        <v>8</v>
      </c>
      <c r="F6" s="10" t="str">
        <f aca="false">IF(OR(C6="U",C6="K",C6="F",C6="G"),IF(D6="",0,D6),IF(D6="","",D6-E6))</f>
        <v/>
      </c>
      <c r="G6" s="26"/>
    </row>
    <row r="7" customFormat="false" ht="15" hidden="false" customHeight="false" outlineLevel="0" collapsed="false">
      <c r="A7" s="22" t="n">
        <v>45840</v>
      </c>
      <c r="B7" s="23" t="s">
        <v>49</v>
      </c>
      <c r="C7" s="24"/>
      <c r="D7" s="25"/>
      <c r="E7" s="10" t="n">
        <f aca="false">IF(WEEKDAY(A7,2)&lt;=5,Übersicht!$B$4,0)</f>
        <v>8</v>
      </c>
      <c r="F7" s="10" t="str">
        <f aca="false">IF(OR(C7="U",C7="K",C7="F",C7="G"),IF(D7="",0,D7),IF(D7="","",D7-E7))</f>
        <v/>
      </c>
      <c r="G7" s="26"/>
    </row>
    <row r="8" customFormat="false" ht="15" hidden="false" customHeight="false" outlineLevel="0" collapsed="false">
      <c r="A8" s="22" t="n">
        <v>45841</v>
      </c>
      <c r="B8" s="23" t="s">
        <v>50</v>
      </c>
      <c r="C8" s="24"/>
      <c r="D8" s="25"/>
      <c r="E8" s="10" t="n">
        <f aca="false">IF(WEEKDAY(A8,2)&lt;=5,Übersicht!$B$4,0)</f>
        <v>8</v>
      </c>
      <c r="F8" s="10" t="str">
        <f aca="false">IF(OR(C8="U",C8="K",C8="F",C8="G"),IF(D8="",0,D8),IF(D8="","",D8-E8))</f>
        <v/>
      </c>
      <c r="G8" s="26"/>
    </row>
    <row r="9" customFormat="false" ht="15" hidden="false" customHeight="false" outlineLevel="0" collapsed="false">
      <c r="A9" s="22" t="n">
        <v>45842</v>
      </c>
      <c r="B9" s="23" t="s">
        <v>51</v>
      </c>
      <c r="C9" s="24"/>
      <c r="D9" s="25"/>
      <c r="E9" s="10" t="n">
        <f aca="false">IF(WEEKDAY(A9,2)&lt;=5,Übersicht!$B$4,0)</f>
        <v>8</v>
      </c>
      <c r="F9" s="10" t="str">
        <f aca="false">IF(OR(C9="U",C9="K",C9="F",C9="G"),IF(D9="",0,D9),IF(D9="","",D9-E9))</f>
        <v/>
      </c>
      <c r="G9" s="26"/>
    </row>
    <row r="10" customFormat="false" ht="15" hidden="false" customHeight="false" outlineLevel="0" collapsed="false">
      <c r="A10" s="16" t="n">
        <v>45843</v>
      </c>
      <c r="B10" s="17" t="s">
        <v>45</v>
      </c>
      <c r="C10" s="18"/>
      <c r="D10" s="19"/>
      <c r="E10" s="20" t="n">
        <f aca="false">IF(WEEKDAY(A10,2)&lt;=5,Übersicht!$B$4,0)</f>
        <v>0</v>
      </c>
      <c r="F10" s="20" t="str">
        <f aca="false">IF(OR(C10="U",C10="K",C10="F",C10="G"),IF(D10="",0,D10),IF(D10="","",D10-E10))</f>
        <v/>
      </c>
      <c r="G10" s="21"/>
    </row>
    <row r="11" customFormat="false" ht="15" hidden="false" customHeight="false" outlineLevel="0" collapsed="false">
      <c r="A11" s="16" t="n">
        <v>45844</v>
      </c>
      <c r="B11" s="17" t="s">
        <v>46</v>
      </c>
      <c r="C11" s="18"/>
      <c r="D11" s="19"/>
      <c r="E11" s="20" t="n">
        <f aca="false">IF(WEEKDAY(A11,2)&lt;=5,Übersicht!$B$4,0)</f>
        <v>0</v>
      </c>
      <c r="F11" s="20" t="str">
        <f aca="false">IF(OR(C11="U",C11="K",C11="F",C11="G"),IF(D11="",0,D11),IF(D11="","",D11-E11))</f>
        <v/>
      </c>
      <c r="G11" s="21"/>
    </row>
    <row r="12" customFormat="false" ht="15" hidden="false" customHeight="false" outlineLevel="0" collapsed="false">
      <c r="A12" s="22" t="n">
        <v>45845</v>
      </c>
      <c r="B12" s="23" t="s">
        <v>47</v>
      </c>
      <c r="C12" s="24"/>
      <c r="D12" s="25"/>
      <c r="E12" s="10" t="n">
        <f aca="false">IF(WEEKDAY(A12,2)&lt;=5,Übersicht!$B$4,0)</f>
        <v>8</v>
      </c>
      <c r="F12" s="10" t="str">
        <f aca="false">IF(OR(C12="U",C12="K",C12="F",C12="G"),IF(D12="",0,D12),IF(D12="","",D12-E12))</f>
        <v/>
      </c>
      <c r="G12" s="26"/>
    </row>
    <row r="13" customFormat="false" ht="15" hidden="false" customHeight="false" outlineLevel="0" collapsed="false">
      <c r="A13" s="22" t="n">
        <v>45846</v>
      </c>
      <c r="B13" s="23" t="s">
        <v>48</v>
      </c>
      <c r="C13" s="24"/>
      <c r="D13" s="25"/>
      <c r="E13" s="10" t="n">
        <f aca="false">IF(WEEKDAY(A13,2)&lt;=5,Übersicht!$B$4,0)</f>
        <v>8</v>
      </c>
      <c r="F13" s="10" t="str">
        <f aca="false">IF(OR(C13="U",C13="K",C13="F",C13="G"),IF(D13="",0,D13),IF(D13="","",D13-E13))</f>
        <v/>
      </c>
      <c r="G13" s="26"/>
    </row>
    <row r="14" customFormat="false" ht="15" hidden="false" customHeight="false" outlineLevel="0" collapsed="false">
      <c r="A14" s="22" t="n">
        <v>45847</v>
      </c>
      <c r="B14" s="23" t="s">
        <v>49</v>
      </c>
      <c r="C14" s="24"/>
      <c r="D14" s="25"/>
      <c r="E14" s="10" t="n">
        <f aca="false">IF(WEEKDAY(A14,2)&lt;=5,Übersicht!$B$4,0)</f>
        <v>8</v>
      </c>
      <c r="F14" s="10" t="str">
        <f aca="false">IF(OR(C14="U",C14="K",C14="F",C14="G"),IF(D14="",0,D14),IF(D14="","",D14-E14))</f>
        <v/>
      </c>
      <c r="G14" s="26"/>
    </row>
    <row r="15" customFormat="false" ht="15" hidden="false" customHeight="false" outlineLevel="0" collapsed="false">
      <c r="A15" s="22" t="n">
        <v>45848</v>
      </c>
      <c r="B15" s="23" t="s">
        <v>50</v>
      </c>
      <c r="C15" s="24"/>
      <c r="D15" s="25"/>
      <c r="E15" s="10" t="n">
        <f aca="false">IF(WEEKDAY(A15,2)&lt;=5,Übersicht!$B$4,0)</f>
        <v>8</v>
      </c>
      <c r="F15" s="10" t="str">
        <f aca="false">IF(OR(C15="U",C15="K",C15="F",C15="G"),IF(D15="",0,D15),IF(D15="","",D15-E15))</f>
        <v/>
      </c>
      <c r="G15" s="26"/>
    </row>
    <row r="16" customFormat="false" ht="15" hidden="false" customHeight="false" outlineLevel="0" collapsed="false">
      <c r="A16" s="22" t="n">
        <v>45849</v>
      </c>
      <c r="B16" s="23" t="s">
        <v>51</v>
      </c>
      <c r="C16" s="24"/>
      <c r="D16" s="25"/>
      <c r="E16" s="10" t="n">
        <f aca="false">IF(WEEKDAY(A16,2)&lt;=5,Übersicht!$B$4,0)</f>
        <v>8</v>
      </c>
      <c r="F16" s="10" t="str">
        <f aca="false">IF(OR(C16="U",C16="K",C16="F",C16="G"),IF(D16="",0,D16),IF(D16="","",D16-E16))</f>
        <v/>
      </c>
      <c r="G16" s="26"/>
    </row>
    <row r="17" customFormat="false" ht="15" hidden="false" customHeight="false" outlineLevel="0" collapsed="false">
      <c r="A17" s="16" t="n">
        <v>45850</v>
      </c>
      <c r="B17" s="17" t="s">
        <v>45</v>
      </c>
      <c r="C17" s="18"/>
      <c r="D17" s="19"/>
      <c r="E17" s="20" t="n">
        <f aca="false">IF(WEEKDAY(A17,2)&lt;=5,Übersicht!$B$4,0)</f>
        <v>0</v>
      </c>
      <c r="F17" s="20" t="str">
        <f aca="false">IF(OR(C17="U",C17="K",C17="F",C17="G"),IF(D17="",0,D17),IF(D17="","",D17-E17))</f>
        <v/>
      </c>
      <c r="G17" s="21"/>
    </row>
    <row r="18" customFormat="false" ht="15" hidden="false" customHeight="false" outlineLevel="0" collapsed="false">
      <c r="A18" s="16" t="n">
        <v>45851</v>
      </c>
      <c r="B18" s="17" t="s">
        <v>46</v>
      </c>
      <c r="C18" s="18"/>
      <c r="D18" s="19"/>
      <c r="E18" s="20" t="n">
        <f aca="false">IF(WEEKDAY(A18,2)&lt;=5,Übersicht!$B$4,0)</f>
        <v>0</v>
      </c>
      <c r="F18" s="20" t="str">
        <f aca="false">IF(OR(C18="U",C18="K",C18="F",C18="G"),IF(D18="",0,D18),IF(D18="","",D18-E18))</f>
        <v/>
      </c>
      <c r="G18" s="21"/>
    </row>
    <row r="19" customFormat="false" ht="15" hidden="false" customHeight="false" outlineLevel="0" collapsed="false">
      <c r="A19" s="22" t="n">
        <v>45852</v>
      </c>
      <c r="B19" s="23" t="s">
        <v>47</v>
      </c>
      <c r="C19" s="24"/>
      <c r="D19" s="25"/>
      <c r="E19" s="10" t="n">
        <f aca="false">IF(WEEKDAY(A19,2)&lt;=5,Übersicht!$B$4,0)</f>
        <v>8</v>
      </c>
      <c r="F19" s="10" t="str">
        <f aca="false">IF(OR(C19="U",C19="K",C19="F",C19="G"),IF(D19="",0,D19),IF(D19="","",D19-E19))</f>
        <v/>
      </c>
      <c r="G19" s="26"/>
    </row>
    <row r="20" customFormat="false" ht="15" hidden="false" customHeight="false" outlineLevel="0" collapsed="false">
      <c r="A20" s="22" t="n">
        <v>45853</v>
      </c>
      <c r="B20" s="23" t="s">
        <v>48</v>
      </c>
      <c r="C20" s="24"/>
      <c r="D20" s="25"/>
      <c r="E20" s="10" t="n">
        <f aca="false">IF(WEEKDAY(A20,2)&lt;=5,Übersicht!$B$4,0)</f>
        <v>8</v>
      </c>
      <c r="F20" s="10" t="str">
        <f aca="false">IF(OR(C20="U",C20="K",C20="F",C20="G"),IF(D20="",0,D20),IF(D20="","",D20-E20))</f>
        <v/>
      </c>
      <c r="G20" s="26"/>
    </row>
    <row r="21" customFormat="false" ht="15" hidden="false" customHeight="false" outlineLevel="0" collapsed="false">
      <c r="A21" s="22" t="n">
        <v>45854</v>
      </c>
      <c r="B21" s="23" t="s">
        <v>49</v>
      </c>
      <c r="C21" s="24"/>
      <c r="D21" s="25"/>
      <c r="E21" s="10" t="n">
        <f aca="false">IF(WEEKDAY(A21,2)&lt;=5,Übersicht!$B$4,0)</f>
        <v>8</v>
      </c>
      <c r="F21" s="10" t="str">
        <f aca="false">IF(OR(C21="U",C21="K",C21="F",C21="G"),IF(D21="",0,D21),IF(D21="","",D21-E21))</f>
        <v/>
      </c>
      <c r="G21" s="26"/>
    </row>
    <row r="22" customFormat="false" ht="15" hidden="false" customHeight="false" outlineLevel="0" collapsed="false">
      <c r="A22" s="22" t="n">
        <v>45855</v>
      </c>
      <c r="B22" s="23" t="s">
        <v>50</v>
      </c>
      <c r="C22" s="24"/>
      <c r="D22" s="25"/>
      <c r="E22" s="10" t="n">
        <f aca="false">IF(WEEKDAY(A22,2)&lt;=5,Übersicht!$B$4,0)</f>
        <v>8</v>
      </c>
      <c r="F22" s="10" t="str">
        <f aca="false">IF(OR(C22="U",C22="K",C22="F",C22="G"),IF(D22="",0,D22),IF(D22="","",D22-E22))</f>
        <v/>
      </c>
      <c r="G22" s="26"/>
    </row>
    <row r="23" customFormat="false" ht="15" hidden="false" customHeight="false" outlineLevel="0" collapsed="false">
      <c r="A23" s="22" t="n">
        <v>45856</v>
      </c>
      <c r="B23" s="23" t="s">
        <v>51</v>
      </c>
      <c r="C23" s="24"/>
      <c r="D23" s="25"/>
      <c r="E23" s="10" t="n">
        <f aca="false">IF(WEEKDAY(A23,2)&lt;=5,Übersicht!$B$4,0)</f>
        <v>8</v>
      </c>
      <c r="F23" s="10" t="str">
        <f aca="false">IF(OR(C23="U",C23="K",C23="F",C23="G"),IF(D23="",0,D23),IF(D23="","",D23-E23))</f>
        <v/>
      </c>
      <c r="G23" s="26"/>
    </row>
    <row r="24" customFormat="false" ht="15" hidden="false" customHeight="false" outlineLevel="0" collapsed="false">
      <c r="A24" s="16" t="n">
        <v>45857</v>
      </c>
      <c r="B24" s="17" t="s">
        <v>45</v>
      </c>
      <c r="C24" s="18"/>
      <c r="D24" s="19"/>
      <c r="E24" s="20" t="n">
        <f aca="false">IF(WEEKDAY(A24,2)&lt;=5,Übersicht!$B$4,0)</f>
        <v>0</v>
      </c>
      <c r="F24" s="20" t="str">
        <f aca="false">IF(OR(C24="U",C24="K",C24="F",C24="G"),IF(D24="",0,D24),IF(D24="","",D24-E24))</f>
        <v/>
      </c>
      <c r="G24" s="21"/>
    </row>
    <row r="25" customFormat="false" ht="15" hidden="false" customHeight="false" outlineLevel="0" collapsed="false">
      <c r="A25" s="16" t="n">
        <v>45858</v>
      </c>
      <c r="B25" s="17" t="s">
        <v>46</v>
      </c>
      <c r="C25" s="18"/>
      <c r="D25" s="19"/>
      <c r="E25" s="20" t="n">
        <f aca="false">IF(WEEKDAY(A25,2)&lt;=5,Übersicht!$B$4,0)</f>
        <v>0</v>
      </c>
      <c r="F25" s="20" t="str">
        <f aca="false">IF(OR(C25="U",C25="K",C25="F",C25="G"),IF(D25="",0,D25),IF(D25="","",D25-E25))</f>
        <v/>
      </c>
      <c r="G25" s="21"/>
    </row>
    <row r="26" customFormat="false" ht="15" hidden="false" customHeight="false" outlineLevel="0" collapsed="false">
      <c r="A26" s="22" t="n">
        <v>45859</v>
      </c>
      <c r="B26" s="23" t="s">
        <v>47</v>
      </c>
      <c r="C26" s="24"/>
      <c r="D26" s="25"/>
      <c r="E26" s="10" t="n">
        <f aca="false">IF(WEEKDAY(A26,2)&lt;=5,Übersicht!$B$4,0)</f>
        <v>8</v>
      </c>
      <c r="F26" s="10" t="str">
        <f aca="false">IF(OR(C26="U",C26="K",C26="F",C26="G"),IF(D26="",0,D26),IF(D26="","",D26-E26))</f>
        <v/>
      </c>
      <c r="G26" s="26"/>
    </row>
    <row r="27" customFormat="false" ht="15" hidden="false" customHeight="false" outlineLevel="0" collapsed="false">
      <c r="A27" s="22" t="n">
        <v>45860</v>
      </c>
      <c r="B27" s="23" t="s">
        <v>48</v>
      </c>
      <c r="C27" s="24"/>
      <c r="D27" s="25"/>
      <c r="E27" s="10" t="n">
        <f aca="false">IF(WEEKDAY(A27,2)&lt;=5,Übersicht!$B$4,0)</f>
        <v>8</v>
      </c>
      <c r="F27" s="10" t="str">
        <f aca="false">IF(OR(C27="U",C27="K",C27="F",C27="G"),IF(D27="",0,D27),IF(D27="","",D27-E27))</f>
        <v/>
      </c>
      <c r="G27" s="26"/>
    </row>
    <row r="28" customFormat="false" ht="15" hidden="false" customHeight="false" outlineLevel="0" collapsed="false">
      <c r="A28" s="22" t="n">
        <v>45861</v>
      </c>
      <c r="B28" s="23" t="s">
        <v>49</v>
      </c>
      <c r="C28" s="24"/>
      <c r="D28" s="25"/>
      <c r="E28" s="10" t="n">
        <f aca="false">IF(WEEKDAY(A28,2)&lt;=5,Übersicht!$B$4,0)</f>
        <v>8</v>
      </c>
      <c r="F28" s="10" t="str">
        <f aca="false">IF(OR(C28="U",C28="K",C28="F",C28="G"),IF(D28="",0,D28),IF(D28="","",D28-E28))</f>
        <v/>
      </c>
      <c r="G28" s="26"/>
    </row>
    <row r="29" customFormat="false" ht="15" hidden="false" customHeight="false" outlineLevel="0" collapsed="false">
      <c r="A29" s="22" t="n">
        <v>45862</v>
      </c>
      <c r="B29" s="23" t="s">
        <v>50</v>
      </c>
      <c r="C29" s="24"/>
      <c r="D29" s="25"/>
      <c r="E29" s="10" t="n">
        <f aca="false">IF(WEEKDAY(A29,2)&lt;=5,Übersicht!$B$4,0)</f>
        <v>8</v>
      </c>
      <c r="F29" s="10" t="str">
        <f aca="false">IF(OR(C29="U",C29="K",C29="F",C29="G"),IF(D29="",0,D29),IF(D29="","",D29-E29))</f>
        <v/>
      </c>
      <c r="G29" s="26"/>
    </row>
    <row r="30" customFormat="false" ht="15" hidden="false" customHeight="false" outlineLevel="0" collapsed="false">
      <c r="A30" s="22" t="n">
        <v>45863</v>
      </c>
      <c r="B30" s="23" t="s">
        <v>51</v>
      </c>
      <c r="C30" s="24"/>
      <c r="D30" s="25"/>
      <c r="E30" s="10" t="n">
        <f aca="false">IF(WEEKDAY(A30,2)&lt;=5,Übersicht!$B$4,0)</f>
        <v>8</v>
      </c>
      <c r="F30" s="10" t="str">
        <f aca="false">IF(OR(C30="U",C30="K",C30="F",C30="G"),IF(D30="",0,D30),IF(D30="","",D30-E30))</f>
        <v/>
      </c>
      <c r="G30" s="26"/>
    </row>
    <row r="31" customFormat="false" ht="15" hidden="false" customHeight="false" outlineLevel="0" collapsed="false">
      <c r="A31" s="16" t="n">
        <v>45864</v>
      </c>
      <c r="B31" s="17" t="s">
        <v>45</v>
      </c>
      <c r="C31" s="18"/>
      <c r="D31" s="19"/>
      <c r="E31" s="20" t="n">
        <f aca="false">IF(WEEKDAY(A31,2)&lt;=5,Übersicht!$B$4,0)</f>
        <v>0</v>
      </c>
      <c r="F31" s="20" t="str">
        <f aca="false">IF(OR(C31="U",C31="K",C31="F",C31="G"),IF(D31="",0,D31),IF(D31="","",D31-E31))</f>
        <v/>
      </c>
      <c r="G31" s="21"/>
    </row>
    <row r="32" customFormat="false" ht="15" hidden="false" customHeight="false" outlineLevel="0" collapsed="false">
      <c r="A32" s="16" t="n">
        <v>45865</v>
      </c>
      <c r="B32" s="17" t="s">
        <v>46</v>
      </c>
      <c r="C32" s="18"/>
      <c r="D32" s="19"/>
      <c r="E32" s="20" t="n">
        <f aca="false">IF(WEEKDAY(A32,2)&lt;=5,Übersicht!$B$4,0)</f>
        <v>0</v>
      </c>
      <c r="F32" s="20" t="str">
        <f aca="false">IF(OR(C32="U",C32="K",C32="F",C32="G"),IF(D32="",0,D32),IF(D32="","",D32-E32))</f>
        <v/>
      </c>
      <c r="G32" s="21"/>
    </row>
    <row r="33" customFormat="false" ht="15" hidden="false" customHeight="false" outlineLevel="0" collapsed="false">
      <c r="A33" s="22" t="n">
        <v>45866</v>
      </c>
      <c r="B33" s="23" t="s">
        <v>47</v>
      </c>
      <c r="C33" s="24"/>
      <c r="D33" s="25"/>
      <c r="E33" s="10" t="n">
        <f aca="false">IF(WEEKDAY(A33,2)&lt;=5,Übersicht!$B$4,0)</f>
        <v>8</v>
      </c>
      <c r="F33" s="10" t="str">
        <f aca="false">IF(OR(C33="U",C33="K",C33="F",C33="G"),IF(D33="",0,D33),IF(D33="","",D33-E33))</f>
        <v/>
      </c>
      <c r="G33" s="26"/>
    </row>
    <row r="34" customFormat="false" ht="15" hidden="false" customHeight="false" outlineLevel="0" collapsed="false">
      <c r="A34" s="22" t="n">
        <v>45867</v>
      </c>
      <c r="B34" s="23" t="s">
        <v>48</v>
      </c>
      <c r="C34" s="24"/>
      <c r="D34" s="25"/>
      <c r="E34" s="10" t="n">
        <f aca="false">IF(WEEKDAY(A34,2)&lt;=5,Übersicht!$B$4,0)</f>
        <v>8</v>
      </c>
      <c r="F34" s="10" t="str">
        <f aca="false">IF(OR(C34="U",C34="K",C34="F",C34="G"),IF(D34="",0,D34),IF(D34="","",D34-E34))</f>
        <v/>
      </c>
      <c r="G34" s="26"/>
    </row>
    <row r="35" customFormat="false" ht="15" hidden="false" customHeight="false" outlineLevel="0" collapsed="false">
      <c r="A35" s="22" t="n">
        <v>45868</v>
      </c>
      <c r="B35" s="23" t="s">
        <v>49</v>
      </c>
      <c r="C35" s="24"/>
      <c r="D35" s="25"/>
      <c r="E35" s="10" t="n">
        <f aca="false">IF(WEEKDAY(A35,2)&lt;=5,Übersicht!$B$4,0)</f>
        <v>8</v>
      </c>
      <c r="F35" s="10" t="str">
        <f aca="false">IF(OR(C35="U",C35="K",C35="F",C35="G"),IF(D35="",0,D35),IF(D35="","",D35-E35))</f>
        <v/>
      </c>
      <c r="G35" s="26"/>
    </row>
    <row r="36" customFormat="false" ht="15" hidden="false" customHeight="false" outlineLevel="0" collapsed="false">
      <c r="A36" s="22" t="n">
        <v>45869</v>
      </c>
      <c r="B36" s="23" t="s">
        <v>50</v>
      </c>
      <c r="C36" s="24"/>
      <c r="D36" s="25"/>
      <c r="E36" s="10" t="n">
        <f aca="false">IF(WEEKDAY(A36,2)&lt;=5,Übersicht!$B$4,0)</f>
        <v>8</v>
      </c>
      <c r="F36" s="10" t="str">
        <f aca="false">IF(OR(C36="U",C36="K",C36="F",C36="G"),IF(D36="",0,D36),IF(D36="","",D36-E36))</f>
        <v/>
      </c>
      <c r="G36" s="26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0</v>
      </c>
      <c r="E38" s="12" t="n">
        <f aca="false">SUM(E6:E36)</f>
        <v>184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23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Übersicht!F21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6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2" activeCellId="0" sqref="B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66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22" t="n">
        <v>45870</v>
      </c>
      <c r="B6" s="23" t="s">
        <v>51</v>
      </c>
      <c r="C6" s="24"/>
      <c r="D6" s="25"/>
      <c r="E6" s="10" t="n">
        <f aca="false">IF(WEEKDAY(A6,2)&lt;=5,Übersicht!$B$4,0)</f>
        <v>8</v>
      </c>
      <c r="F6" s="10" t="str">
        <f aca="false">IF(OR(C6="U",C6="K",C6="F",C6="G"),IF(D6="",0,D6),IF(D6="","",D6-E6))</f>
        <v/>
      </c>
      <c r="G6" s="26"/>
    </row>
    <row r="7" customFormat="false" ht="15" hidden="false" customHeight="false" outlineLevel="0" collapsed="false">
      <c r="A7" s="16" t="n">
        <v>45871</v>
      </c>
      <c r="B7" s="17" t="s">
        <v>45</v>
      </c>
      <c r="C7" s="18"/>
      <c r="D7" s="19"/>
      <c r="E7" s="20" t="n">
        <f aca="false">IF(WEEKDAY(A7,2)&lt;=5,Übersicht!$B$4,0)</f>
        <v>0</v>
      </c>
      <c r="F7" s="20" t="str">
        <f aca="false">IF(OR(C7="U",C7="K",C7="F",C7="G"),IF(D7="",0,D7),IF(D7="","",D7-E7))</f>
        <v/>
      </c>
      <c r="G7" s="21"/>
    </row>
    <row r="8" customFormat="false" ht="15" hidden="false" customHeight="false" outlineLevel="0" collapsed="false">
      <c r="A8" s="16" t="n">
        <v>45872</v>
      </c>
      <c r="B8" s="17" t="s">
        <v>46</v>
      </c>
      <c r="C8" s="18"/>
      <c r="D8" s="19"/>
      <c r="E8" s="20" t="n">
        <f aca="false">IF(WEEKDAY(A8,2)&lt;=5,Übersicht!$B$4,0)</f>
        <v>0</v>
      </c>
      <c r="F8" s="20" t="str">
        <f aca="false">IF(OR(C8="U",C8="K",C8="F",C8="G"),IF(D8="",0,D8),IF(D8="","",D8-E8))</f>
        <v/>
      </c>
      <c r="G8" s="21"/>
    </row>
    <row r="9" customFormat="false" ht="15" hidden="false" customHeight="false" outlineLevel="0" collapsed="false">
      <c r="A9" s="22" t="n">
        <v>45873</v>
      </c>
      <c r="B9" s="23" t="s">
        <v>47</v>
      </c>
      <c r="C9" s="24"/>
      <c r="D9" s="25"/>
      <c r="E9" s="10" t="n">
        <f aca="false">IF(WEEKDAY(A9,2)&lt;=5,Übersicht!$B$4,0)</f>
        <v>8</v>
      </c>
      <c r="F9" s="10" t="str">
        <f aca="false">IF(OR(C9="U",C9="K",C9="F",C9="G"),IF(D9="",0,D9),IF(D9="","",D9-E9))</f>
        <v/>
      </c>
      <c r="G9" s="26"/>
    </row>
    <row r="10" customFormat="false" ht="15" hidden="false" customHeight="false" outlineLevel="0" collapsed="false">
      <c r="A10" s="22" t="n">
        <v>45874</v>
      </c>
      <c r="B10" s="23" t="s">
        <v>48</v>
      </c>
      <c r="C10" s="24"/>
      <c r="D10" s="25"/>
      <c r="E10" s="10" t="n">
        <f aca="false">IF(WEEKDAY(A10,2)&lt;=5,Übersicht!$B$4,0)</f>
        <v>8</v>
      </c>
      <c r="F10" s="10" t="str">
        <f aca="false">IF(OR(C10="U",C10="K",C10="F",C10="G"),IF(D10="",0,D10),IF(D10="","",D10-E10))</f>
        <v/>
      </c>
      <c r="G10" s="26"/>
    </row>
    <row r="11" customFormat="false" ht="15" hidden="false" customHeight="false" outlineLevel="0" collapsed="false">
      <c r="A11" s="22" t="n">
        <v>45875</v>
      </c>
      <c r="B11" s="23" t="s">
        <v>49</v>
      </c>
      <c r="C11" s="24"/>
      <c r="D11" s="25"/>
      <c r="E11" s="10" t="n">
        <f aca="false">IF(WEEKDAY(A11,2)&lt;=5,Übersicht!$B$4,0)</f>
        <v>8</v>
      </c>
      <c r="F11" s="10" t="str">
        <f aca="false">IF(OR(C11="U",C11="K",C11="F",C11="G"),IF(D11="",0,D11),IF(D11="","",D11-E11))</f>
        <v/>
      </c>
      <c r="G11" s="26"/>
    </row>
    <row r="12" customFormat="false" ht="15" hidden="false" customHeight="false" outlineLevel="0" collapsed="false">
      <c r="A12" s="22" t="n">
        <v>45876</v>
      </c>
      <c r="B12" s="23" t="s">
        <v>50</v>
      </c>
      <c r="C12" s="24"/>
      <c r="D12" s="25"/>
      <c r="E12" s="10" t="n">
        <f aca="false">IF(WEEKDAY(A12,2)&lt;=5,Übersicht!$B$4,0)</f>
        <v>8</v>
      </c>
      <c r="F12" s="10" t="str">
        <f aca="false">IF(OR(C12="U",C12="K",C12="F",C12="G"),IF(D12="",0,D12),IF(D12="","",D12-E12))</f>
        <v/>
      </c>
      <c r="G12" s="26"/>
    </row>
    <row r="13" customFormat="false" ht="15" hidden="false" customHeight="false" outlineLevel="0" collapsed="false">
      <c r="A13" s="22" t="n">
        <v>45877</v>
      </c>
      <c r="B13" s="23" t="s">
        <v>51</v>
      </c>
      <c r="C13" s="24"/>
      <c r="D13" s="25"/>
      <c r="E13" s="10" t="n">
        <f aca="false">IF(WEEKDAY(A13,2)&lt;=5,Übersicht!$B$4,0)</f>
        <v>8</v>
      </c>
      <c r="F13" s="10" t="str">
        <f aca="false">IF(OR(C13="U",C13="K",C13="F",C13="G"),IF(D13="",0,D13),IF(D13="","",D13-E13))</f>
        <v/>
      </c>
      <c r="G13" s="26"/>
    </row>
    <row r="14" customFormat="false" ht="15" hidden="false" customHeight="false" outlineLevel="0" collapsed="false">
      <c r="A14" s="16" t="n">
        <v>45878</v>
      </c>
      <c r="B14" s="17" t="s">
        <v>45</v>
      </c>
      <c r="C14" s="18"/>
      <c r="D14" s="19"/>
      <c r="E14" s="20" t="n">
        <f aca="false">IF(WEEKDAY(A14,2)&lt;=5,Übersicht!$B$4,0)</f>
        <v>0</v>
      </c>
      <c r="F14" s="20" t="str">
        <f aca="false">IF(OR(C14="U",C14="K",C14="F",C14="G"),IF(D14="",0,D14),IF(D14="","",D14-E14))</f>
        <v/>
      </c>
      <c r="G14" s="21"/>
    </row>
    <row r="15" customFormat="false" ht="15" hidden="false" customHeight="false" outlineLevel="0" collapsed="false">
      <c r="A15" s="16" t="n">
        <v>45879</v>
      </c>
      <c r="B15" s="17" t="s">
        <v>46</v>
      </c>
      <c r="C15" s="18"/>
      <c r="D15" s="19"/>
      <c r="E15" s="20" t="n">
        <f aca="false">IF(WEEKDAY(A15,2)&lt;=5,Übersicht!$B$4,0)</f>
        <v>0</v>
      </c>
      <c r="F15" s="20" t="str">
        <f aca="false">IF(OR(C15="U",C15="K",C15="F",C15="G"),IF(D15="",0,D15),IF(D15="","",D15-E15))</f>
        <v/>
      </c>
      <c r="G15" s="21"/>
    </row>
    <row r="16" customFormat="false" ht="15" hidden="false" customHeight="false" outlineLevel="0" collapsed="false">
      <c r="A16" s="22" t="n">
        <v>45880</v>
      </c>
      <c r="B16" s="23" t="s">
        <v>47</v>
      </c>
      <c r="C16" s="24"/>
      <c r="D16" s="25"/>
      <c r="E16" s="10" t="n">
        <f aca="false">IF(WEEKDAY(A16,2)&lt;=5,Übersicht!$B$4,0)</f>
        <v>8</v>
      </c>
      <c r="F16" s="10" t="str">
        <f aca="false">IF(OR(C16="U",C16="K",C16="F",C16="G"),IF(D16="",0,D16),IF(D16="","",D16-E16))</f>
        <v/>
      </c>
      <c r="G16" s="26"/>
    </row>
    <row r="17" customFormat="false" ht="15" hidden="false" customHeight="false" outlineLevel="0" collapsed="false">
      <c r="A17" s="22" t="n">
        <v>45881</v>
      </c>
      <c r="B17" s="23" t="s">
        <v>48</v>
      </c>
      <c r="C17" s="24"/>
      <c r="D17" s="25"/>
      <c r="E17" s="10" t="n">
        <f aca="false">IF(WEEKDAY(A17,2)&lt;=5,Übersicht!$B$4,0)</f>
        <v>8</v>
      </c>
      <c r="F17" s="10" t="str">
        <f aca="false">IF(OR(C17="U",C17="K",C17="F",C17="G"),IF(D17="",0,D17),IF(D17="","",D17-E17))</f>
        <v/>
      </c>
      <c r="G17" s="26"/>
    </row>
    <row r="18" customFormat="false" ht="15" hidden="false" customHeight="false" outlineLevel="0" collapsed="false">
      <c r="A18" s="22" t="n">
        <v>45882</v>
      </c>
      <c r="B18" s="23" t="s">
        <v>49</v>
      </c>
      <c r="C18" s="24"/>
      <c r="D18" s="25"/>
      <c r="E18" s="10" t="n">
        <f aca="false">IF(WEEKDAY(A18,2)&lt;=5,Übersicht!$B$4,0)</f>
        <v>8</v>
      </c>
      <c r="F18" s="10" t="str">
        <f aca="false">IF(OR(C18="U",C18="K",C18="F",C18="G"),IF(D18="",0,D18),IF(D18="","",D18-E18))</f>
        <v/>
      </c>
      <c r="G18" s="26"/>
    </row>
    <row r="19" customFormat="false" ht="15" hidden="false" customHeight="false" outlineLevel="0" collapsed="false">
      <c r="A19" s="22" t="n">
        <v>45883</v>
      </c>
      <c r="B19" s="23" t="s">
        <v>50</v>
      </c>
      <c r="C19" s="24"/>
      <c r="D19" s="25"/>
      <c r="E19" s="10" t="n">
        <f aca="false">IF(WEEKDAY(A19,2)&lt;=5,Übersicht!$B$4,0)</f>
        <v>8</v>
      </c>
      <c r="F19" s="10" t="str">
        <f aca="false">IF(OR(C19="U",C19="K",C19="F",C19="G"),IF(D19="",0,D19),IF(D19="","",D19-E19))</f>
        <v/>
      </c>
      <c r="G19" s="26"/>
    </row>
    <row r="20" customFormat="false" ht="15" hidden="false" customHeight="false" outlineLevel="0" collapsed="false">
      <c r="A20" s="22" t="n">
        <v>45884</v>
      </c>
      <c r="B20" s="23" t="s">
        <v>51</v>
      </c>
      <c r="C20" s="24"/>
      <c r="D20" s="25"/>
      <c r="E20" s="10" t="n">
        <f aca="false">IF(WEEKDAY(A20,2)&lt;=5,Übersicht!$B$4,0)</f>
        <v>8</v>
      </c>
      <c r="F20" s="10" t="str">
        <f aca="false">IF(OR(C20="U",C20="K",C20="F",C20="G"),IF(D20="",0,D20),IF(D20="","",D20-E20))</f>
        <v/>
      </c>
      <c r="G20" s="26"/>
    </row>
    <row r="21" customFormat="false" ht="15" hidden="false" customHeight="false" outlineLevel="0" collapsed="false">
      <c r="A21" s="16" t="n">
        <v>45885</v>
      </c>
      <c r="B21" s="17" t="s">
        <v>45</v>
      </c>
      <c r="C21" s="18"/>
      <c r="D21" s="19"/>
      <c r="E21" s="20" t="n">
        <f aca="false">IF(WEEKDAY(A21,2)&lt;=5,Übersicht!$B$4,0)</f>
        <v>0</v>
      </c>
      <c r="F21" s="20" t="str">
        <f aca="false">IF(OR(C21="U",C21="K",C21="F",C21="G"),IF(D21="",0,D21),IF(D21="","",D21-E21))</f>
        <v/>
      </c>
      <c r="G21" s="21"/>
    </row>
    <row r="22" customFormat="false" ht="15" hidden="false" customHeight="false" outlineLevel="0" collapsed="false">
      <c r="A22" s="16" t="n">
        <v>45886</v>
      </c>
      <c r="B22" s="17" t="s">
        <v>46</v>
      </c>
      <c r="C22" s="18"/>
      <c r="D22" s="19"/>
      <c r="E22" s="20" t="n">
        <f aca="false">IF(WEEKDAY(A22,2)&lt;=5,Übersicht!$B$4,0)</f>
        <v>0</v>
      </c>
      <c r="F22" s="20" t="str">
        <f aca="false">IF(OR(C22="U",C22="K",C22="F",C22="G"),IF(D22="",0,D22),IF(D22="","",D22-E22))</f>
        <v/>
      </c>
      <c r="G22" s="21"/>
    </row>
    <row r="23" customFormat="false" ht="15" hidden="false" customHeight="false" outlineLevel="0" collapsed="false">
      <c r="A23" s="22" t="n">
        <v>45887</v>
      </c>
      <c r="B23" s="23" t="s">
        <v>47</v>
      </c>
      <c r="C23" s="24"/>
      <c r="D23" s="25"/>
      <c r="E23" s="10" t="n">
        <f aca="false">IF(WEEKDAY(A23,2)&lt;=5,Übersicht!$B$4,0)</f>
        <v>8</v>
      </c>
      <c r="F23" s="10" t="str">
        <f aca="false">IF(OR(C23="U",C23="K",C23="F",C23="G"),IF(D23="",0,D23),IF(D23="","",D23-E23))</f>
        <v/>
      </c>
      <c r="G23" s="26"/>
    </row>
    <row r="24" customFormat="false" ht="15" hidden="false" customHeight="false" outlineLevel="0" collapsed="false">
      <c r="A24" s="22" t="n">
        <v>45888</v>
      </c>
      <c r="B24" s="23" t="s">
        <v>48</v>
      </c>
      <c r="C24" s="24"/>
      <c r="D24" s="25"/>
      <c r="E24" s="10" t="n">
        <f aca="false">IF(WEEKDAY(A24,2)&lt;=5,Übersicht!$B$4,0)</f>
        <v>8</v>
      </c>
      <c r="F24" s="10" t="str">
        <f aca="false">IF(OR(C24="U",C24="K",C24="F",C24="G"),IF(D24="",0,D24),IF(D24="","",D24-E24))</f>
        <v/>
      </c>
      <c r="G24" s="26"/>
    </row>
    <row r="25" customFormat="false" ht="15" hidden="false" customHeight="false" outlineLevel="0" collapsed="false">
      <c r="A25" s="22" t="n">
        <v>45889</v>
      </c>
      <c r="B25" s="23" t="s">
        <v>49</v>
      </c>
      <c r="C25" s="24"/>
      <c r="D25" s="25"/>
      <c r="E25" s="10" t="n">
        <f aca="false">IF(WEEKDAY(A25,2)&lt;=5,Übersicht!$B$4,0)</f>
        <v>8</v>
      </c>
      <c r="F25" s="10" t="str">
        <f aca="false">IF(OR(C25="U",C25="K",C25="F",C25="G"),IF(D25="",0,D25),IF(D25="","",D25-E25))</f>
        <v/>
      </c>
      <c r="G25" s="26"/>
    </row>
    <row r="26" customFormat="false" ht="15" hidden="false" customHeight="false" outlineLevel="0" collapsed="false">
      <c r="A26" s="22" t="n">
        <v>45890</v>
      </c>
      <c r="B26" s="23" t="s">
        <v>50</v>
      </c>
      <c r="C26" s="24"/>
      <c r="D26" s="25"/>
      <c r="E26" s="10" t="n">
        <f aca="false">IF(WEEKDAY(A26,2)&lt;=5,Übersicht!$B$4,0)</f>
        <v>8</v>
      </c>
      <c r="F26" s="10" t="str">
        <f aca="false">IF(OR(C26="U",C26="K",C26="F",C26="G"),IF(D26="",0,D26),IF(D26="","",D26-E26))</f>
        <v/>
      </c>
      <c r="G26" s="26"/>
    </row>
    <row r="27" customFormat="false" ht="15" hidden="false" customHeight="false" outlineLevel="0" collapsed="false">
      <c r="A27" s="22" t="n">
        <v>45891</v>
      </c>
      <c r="B27" s="23" t="s">
        <v>51</v>
      </c>
      <c r="C27" s="24"/>
      <c r="D27" s="25"/>
      <c r="E27" s="10" t="n">
        <f aca="false">IF(WEEKDAY(A27,2)&lt;=5,Übersicht!$B$4,0)</f>
        <v>8</v>
      </c>
      <c r="F27" s="10" t="str">
        <f aca="false">IF(OR(C27="U",C27="K",C27="F",C27="G"),IF(D27="",0,D27),IF(D27="","",D27-E27))</f>
        <v/>
      </c>
      <c r="G27" s="26"/>
    </row>
    <row r="28" customFormat="false" ht="15" hidden="false" customHeight="false" outlineLevel="0" collapsed="false">
      <c r="A28" s="16" t="n">
        <v>45892</v>
      </c>
      <c r="B28" s="17" t="s">
        <v>45</v>
      </c>
      <c r="C28" s="18"/>
      <c r="D28" s="19"/>
      <c r="E28" s="20" t="n">
        <f aca="false">IF(WEEKDAY(A28,2)&lt;=5,Übersicht!$B$4,0)</f>
        <v>0</v>
      </c>
      <c r="F28" s="20" t="str">
        <f aca="false">IF(OR(C28="U",C28="K",C28="F",C28="G"),IF(D28="",0,D28),IF(D28="","",D28-E28))</f>
        <v/>
      </c>
      <c r="G28" s="21"/>
    </row>
    <row r="29" customFormat="false" ht="15" hidden="false" customHeight="false" outlineLevel="0" collapsed="false">
      <c r="A29" s="16" t="n">
        <v>45893</v>
      </c>
      <c r="B29" s="17" t="s">
        <v>46</v>
      </c>
      <c r="C29" s="18"/>
      <c r="D29" s="19"/>
      <c r="E29" s="20" t="n">
        <f aca="false">IF(WEEKDAY(A29,2)&lt;=5,Übersicht!$B$4,0)</f>
        <v>0</v>
      </c>
      <c r="F29" s="20" t="str">
        <f aca="false">IF(OR(C29="U",C29="K",C29="F",C29="G"),IF(D29="",0,D29),IF(D29="","",D29-E29))</f>
        <v/>
      </c>
      <c r="G29" s="21"/>
    </row>
    <row r="30" customFormat="false" ht="15" hidden="false" customHeight="false" outlineLevel="0" collapsed="false">
      <c r="A30" s="22" t="n">
        <v>45894</v>
      </c>
      <c r="B30" s="23" t="s">
        <v>47</v>
      </c>
      <c r="C30" s="24"/>
      <c r="D30" s="25"/>
      <c r="E30" s="10" t="n">
        <f aca="false">IF(WEEKDAY(A30,2)&lt;=5,Übersicht!$B$4,0)</f>
        <v>8</v>
      </c>
      <c r="F30" s="10" t="str">
        <f aca="false">IF(OR(C30="U",C30="K",C30="F",C30="G"),IF(D30="",0,D30),IF(D30="","",D30-E30))</f>
        <v/>
      </c>
      <c r="G30" s="26"/>
    </row>
    <row r="31" customFormat="false" ht="15" hidden="false" customHeight="false" outlineLevel="0" collapsed="false">
      <c r="A31" s="22" t="n">
        <v>45895</v>
      </c>
      <c r="B31" s="23" t="s">
        <v>48</v>
      </c>
      <c r="C31" s="24"/>
      <c r="D31" s="25"/>
      <c r="E31" s="10" t="n">
        <f aca="false">IF(WEEKDAY(A31,2)&lt;=5,Übersicht!$B$4,0)</f>
        <v>8</v>
      </c>
      <c r="F31" s="10" t="str">
        <f aca="false">IF(OR(C31="U",C31="K",C31="F",C31="G"),IF(D31="",0,D31),IF(D31="","",D31-E31))</f>
        <v/>
      </c>
      <c r="G31" s="26"/>
    </row>
    <row r="32" customFormat="false" ht="15" hidden="false" customHeight="false" outlineLevel="0" collapsed="false">
      <c r="A32" s="22" t="n">
        <v>45896</v>
      </c>
      <c r="B32" s="23" t="s">
        <v>49</v>
      </c>
      <c r="C32" s="24"/>
      <c r="D32" s="25"/>
      <c r="E32" s="10" t="n">
        <f aca="false">IF(WEEKDAY(A32,2)&lt;=5,Übersicht!$B$4,0)</f>
        <v>8</v>
      </c>
      <c r="F32" s="10" t="str">
        <f aca="false">IF(OR(C32="U",C32="K",C32="F",C32="G"),IF(D32="",0,D32),IF(D32="","",D32-E32))</f>
        <v/>
      </c>
      <c r="G32" s="26"/>
    </row>
    <row r="33" customFormat="false" ht="15" hidden="false" customHeight="false" outlineLevel="0" collapsed="false">
      <c r="A33" s="22" t="n">
        <v>45897</v>
      </c>
      <c r="B33" s="23" t="s">
        <v>50</v>
      </c>
      <c r="C33" s="24"/>
      <c r="D33" s="25"/>
      <c r="E33" s="10" t="n">
        <f aca="false">IF(WEEKDAY(A33,2)&lt;=5,Übersicht!$B$4,0)</f>
        <v>8</v>
      </c>
      <c r="F33" s="10" t="str">
        <f aca="false">IF(OR(C33="U",C33="K",C33="F",C33="G"),IF(D33="",0,D33),IF(D33="","",D33-E33))</f>
        <v/>
      </c>
      <c r="G33" s="26"/>
    </row>
    <row r="34" customFormat="false" ht="15" hidden="false" customHeight="false" outlineLevel="0" collapsed="false">
      <c r="A34" s="22" t="n">
        <v>45898</v>
      </c>
      <c r="B34" s="23" t="s">
        <v>51</v>
      </c>
      <c r="C34" s="24"/>
      <c r="D34" s="25"/>
      <c r="E34" s="10" t="n">
        <f aca="false">IF(WEEKDAY(A34,2)&lt;=5,Übersicht!$B$4,0)</f>
        <v>8</v>
      </c>
      <c r="F34" s="10" t="str">
        <f aca="false">IF(OR(C34="U",C34="K",C34="F",C34="G"),IF(D34="",0,D34),IF(D34="","",D34-E34))</f>
        <v/>
      </c>
      <c r="G34" s="26"/>
    </row>
    <row r="35" customFormat="false" ht="15" hidden="false" customHeight="false" outlineLevel="0" collapsed="false">
      <c r="A35" s="16" t="n">
        <v>45899</v>
      </c>
      <c r="B35" s="17" t="s">
        <v>45</v>
      </c>
      <c r="C35" s="18"/>
      <c r="D35" s="19"/>
      <c r="E35" s="20" t="n">
        <f aca="false">IF(WEEKDAY(A35,2)&lt;=5,Übersicht!$B$4,0)</f>
        <v>0</v>
      </c>
      <c r="F35" s="20" t="str">
        <f aca="false">IF(OR(C35="U",C35="K",C35="F",C35="G"),IF(D35="",0,D35),IF(D35="","",D35-E35))</f>
        <v/>
      </c>
      <c r="G35" s="21"/>
    </row>
    <row r="36" customFormat="false" ht="15" hidden="false" customHeight="false" outlineLevel="0" collapsed="false">
      <c r="A36" s="16" t="n">
        <v>45900</v>
      </c>
      <c r="B36" s="17" t="s">
        <v>46</v>
      </c>
      <c r="C36" s="18"/>
      <c r="D36" s="19"/>
      <c r="E36" s="20" t="n">
        <f aca="false">IF(WEEKDAY(A36,2)&lt;=5,Übersicht!$B$4,0)</f>
        <v>0</v>
      </c>
      <c r="F36" s="20" t="str">
        <f aca="false">IF(OR(C36="U",C36="K",C36="F",C36="G"),IF(D36="",0,D36),IF(D36="","",D36-E36))</f>
        <v/>
      </c>
      <c r="G36" s="21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0</v>
      </c>
      <c r="E38" s="12" t="n">
        <f aca="false">SUM(E6:E36)</f>
        <v>168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21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Übersicht!F22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6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L21" activeCellId="0" sqref="L2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67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22" t="n">
        <v>45901</v>
      </c>
      <c r="B6" s="23" t="s">
        <v>47</v>
      </c>
      <c r="C6" s="24"/>
      <c r="D6" s="25"/>
      <c r="E6" s="10" t="n">
        <f aca="false">IF(WEEKDAY(A6,2)&lt;=5,Übersicht!$B$4,0)</f>
        <v>8</v>
      </c>
      <c r="F6" s="10" t="str">
        <f aca="false">IF(OR(C6="U",C6="K",C6="F",C6="G"),IF(D6="",0,D6),IF(D6="","",D6-E6))</f>
        <v/>
      </c>
      <c r="G6" s="26"/>
    </row>
    <row r="7" customFormat="false" ht="15" hidden="false" customHeight="false" outlineLevel="0" collapsed="false">
      <c r="A7" s="22" t="n">
        <v>45902</v>
      </c>
      <c r="B7" s="23" t="s">
        <v>48</v>
      </c>
      <c r="C7" s="24"/>
      <c r="D7" s="25"/>
      <c r="E7" s="10" t="n">
        <f aca="false">IF(WEEKDAY(A7,2)&lt;=5,Übersicht!$B$4,0)</f>
        <v>8</v>
      </c>
      <c r="F7" s="10" t="str">
        <f aca="false">IF(OR(C7="U",C7="K",C7="F",C7="G"),IF(D7="",0,D7),IF(D7="","",D7-E7))</f>
        <v/>
      </c>
      <c r="G7" s="26"/>
    </row>
    <row r="8" customFormat="false" ht="15" hidden="false" customHeight="false" outlineLevel="0" collapsed="false">
      <c r="A8" s="22" t="n">
        <v>45903</v>
      </c>
      <c r="B8" s="23" t="s">
        <v>49</v>
      </c>
      <c r="C8" s="24"/>
      <c r="D8" s="25"/>
      <c r="E8" s="10" t="n">
        <f aca="false">IF(WEEKDAY(A8,2)&lt;=5,Übersicht!$B$4,0)</f>
        <v>8</v>
      </c>
      <c r="F8" s="10" t="str">
        <f aca="false">IF(OR(C8="U",C8="K",C8="F",C8="G"),IF(D8="",0,D8),IF(D8="","",D8-E8))</f>
        <v/>
      </c>
      <c r="G8" s="26"/>
    </row>
    <row r="9" customFormat="false" ht="15" hidden="false" customHeight="false" outlineLevel="0" collapsed="false">
      <c r="A9" s="22" t="n">
        <v>45904</v>
      </c>
      <c r="B9" s="23" t="s">
        <v>50</v>
      </c>
      <c r="C9" s="24"/>
      <c r="D9" s="25"/>
      <c r="E9" s="10" t="n">
        <f aca="false">IF(WEEKDAY(A9,2)&lt;=5,Übersicht!$B$4,0)</f>
        <v>8</v>
      </c>
      <c r="F9" s="10" t="str">
        <f aca="false">IF(OR(C9="U",C9="K",C9="F",C9="G"),IF(D9="",0,D9),IF(D9="","",D9-E9))</f>
        <v/>
      </c>
      <c r="G9" s="26"/>
    </row>
    <row r="10" customFormat="false" ht="15" hidden="false" customHeight="false" outlineLevel="0" collapsed="false">
      <c r="A10" s="22" t="n">
        <v>45905</v>
      </c>
      <c r="B10" s="23" t="s">
        <v>51</v>
      </c>
      <c r="C10" s="24"/>
      <c r="D10" s="25"/>
      <c r="E10" s="10" t="n">
        <f aca="false">IF(WEEKDAY(A10,2)&lt;=5,Übersicht!$B$4,0)</f>
        <v>8</v>
      </c>
      <c r="F10" s="10" t="str">
        <f aca="false">IF(OR(C10="U",C10="K",C10="F",C10="G"),IF(D10="",0,D10),IF(D10="","",D10-E10))</f>
        <v/>
      </c>
      <c r="G10" s="26"/>
    </row>
    <row r="11" customFormat="false" ht="15" hidden="false" customHeight="false" outlineLevel="0" collapsed="false">
      <c r="A11" s="16" t="n">
        <v>45906</v>
      </c>
      <c r="B11" s="17" t="s">
        <v>45</v>
      </c>
      <c r="C11" s="18"/>
      <c r="D11" s="19"/>
      <c r="E11" s="20" t="n">
        <f aca="false">IF(WEEKDAY(A11,2)&lt;=5,Übersicht!$B$4,0)</f>
        <v>0</v>
      </c>
      <c r="F11" s="20" t="str">
        <f aca="false">IF(OR(C11="U",C11="K",C11="F",C11="G"),IF(D11="",0,D11),IF(D11="","",D11-E11))</f>
        <v/>
      </c>
      <c r="G11" s="21"/>
    </row>
    <row r="12" customFormat="false" ht="15" hidden="false" customHeight="false" outlineLevel="0" collapsed="false">
      <c r="A12" s="16" t="n">
        <v>45907</v>
      </c>
      <c r="B12" s="17" t="s">
        <v>46</v>
      </c>
      <c r="C12" s="18"/>
      <c r="D12" s="19"/>
      <c r="E12" s="20" t="n">
        <f aca="false">IF(WEEKDAY(A12,2)&lt;=5,Übersicht!$B$4,0)</f>
        <v>0</v>
      </c>
      <c r="F12" s="20" t="str">
        <f aca="false">IF(OR(C12="U",C12="K",C12="F",C12="G"),IF(D12="",0,D12),IF(D12="","",D12-E12))</f>
        <v/>
      </c>
      <c r="G12" s="21"/>
    </row>
    <row r="13" customFormat="false" ht="15" hidden="false" customHeight="false" outlineLevel="0" collapsed="false">
      <c r="A13" s="22" t="n">
        <v>45908</v>
      </c>
      <c r="B13" s="23" t="s">
        <v>47</v>
      </c>
      <c r="C13" s="24"/>
      <c r="D13" s="25"/>
      <c r="E13" s="10" t="n">
        <f aca="false">IF(WEEKDAY(A13,2)&lt;=5,Übersicht!$B$4,0)</f>
        <v>8</v>
      </c>
      <c r="F13" s="10" t="str">
        <f aca="false">IF(OR(C13="U",C13="K",C13="F",C13="G"),IF(D13="",0,D13),IF(D13="","",D13-E13))</f>
        <v/>
      </c>
      <c r="G13" s="26"/>
    </row>
    <row r="14" customFormat="false" ht="15" hidden="false" customHeight="false" outlineLevel="0" collapsed="false">
      <c r="A14" s="22" t="n">
        <v>45909</v>
      </c>
      <c r="B14" s="23" t="s">
        <v>48</v>
      </c>
      <c r="C14" s="24"/>
      <c r="D14" s="25"/>
      <c r="E14" s="10" t="n">
        <f aca="false">IF(WEEKDAY(A14,2)&lt;=5,Übersicht!$B$4,0)</f>
        <v>8</v>
      </c>
      <c r="F14" s="10" t="str">
        <f aca="false">IF(OR(C14="U",C14="K",C14="F",C14="G"),IF(D14="",0,D14),IF(D14="","",D14-E14))</f>
        <v/>
      </c>
      <c r="G14" s="26"/>
    </row>
    <row r="15" customFormat="false" ht="15" hidden="false" customHeight="false" outlineLevel="0" collapsed="false">
      <c r="A15" s="22" t="n">
        <v>45910</v>
      </c>
      <c r="B15" s="23" t="s">
        <v>49</v>
      </c>
      <c r="C15" s="24"/>
      <c r="D15" s="25"/>
      <c r="E15" s="10" t="n">
        <f aca="false">IF(WEEKDAY(A15,2)&lt;=5,Übersicht!$B$4,0)</f>
        <v>8</v>
      </c>
      <c r="F15" s="10" t="str">
        <f aca="false">IF(OR(C15="U",C15="K",C15="F",C15="G"),IF(D15="",0,D15),IF(D15="","",D15-E15))</f>
        <v/>
      </c>
      <c r="G15" s="26"/>
    </row>
    <row r="16" customFormat="false" ht="15" hidden="false" customHeight="false" outlineLevel="0" collapsed="false">
      <c r="A16" s="22" t="n">
        <v>45911</v>
      </c>
      <c r="B16" s="23" t="s">
        <v>50</v>
      </c>
      <c r="C16" s="24"/>
      <c r="D16" s="25"/>
      <c r="E16" s="10" t="n">
        <f aca="false">IF(WEEKDAY(A16,2)&lt;=5,Übersicht!$B$4,0)</f>
        <v>8</v>
      </c>
      <c r="F16" s="10" t="str">
        <f aca="false">IF(OR(C16="U",C16="K",C16="F",C16="G"),IF(D16="",0,D16),IF(D16="","",D16-E16))</f>
        <v/>
      </c>
      <c r="G16" s="26"/>
    </row>
    <row r="17" customFormat="false" ht="15" hidden="false" customHeight="false" outlineLevel="0" collapsed="false">
      <c r="A17" s="22" t="n">
        <v>45912</v>
      </c>
      <c r="B17" s="23" t="s">
        <v>51</v>
      </c>
      <c r="C17" s="24"/>
      <c r="D17" s="25"/>
      <c r="E17" s="10" t="n">
        <f aca="false">IF(WEEKDAY(A17,2)&lt;=5,Übersicht!$B$4,0)</f>
        <v>8</v>
      </c>
      <c r="F17" s="10" t="str">
        <f aca="false">IF(OR(C17="U",C17="K",C17="F",C17="G"),IF(D17="",0,D17),IF(D17="","",D17-E17))</f>
        <v/>
      </c>
      <c r="G17" s="26"/>
    </row>
    <row r="18" customFormat="false" ht="15" hidden="false" customHeight="false" outlineLevel="0" collapsed="false">
      <c r="A18" s="16" t="n">
        <v>45913</v>
      </c>
      <c r="B18" s="17" t="s">
        <v>45</v>
      </c>
      <c r="C18" s="18"/>
      <c r="D18" s="19"/>
      <c r="E18" s="20" t="n">
        <f aca="false">IF(WEEKDAY(A18,2)&lt;=5,Übersicht!$B$4,0)</f>
        <v>0</v>
      </c>
      <c r="F18" s="20" t="str">
        <f aca="false">IF(OR(C18="U",C18="K",C18="F",C18="G"),IF(D18="",0,D18),IF(D18="","",D18-E18))</f>
        <v/>
      </c>
      <c r="G18" s="21"/>
    </row>
    <row r="19" customFormat="false" ht="15" hidden="false" customHeight="false" outlineLevel="0" collapsed="false">
      <c r="A19" s="16" t="n">
        <v>45914</v>
      </c>
      <c r="B19" s="17" t="s">
        <v>46</v>
      </c>
      <c r="C19" s="18"/>
      <c r="D19" s="19"/>
      <c r="E19" s="20" t="n">
        <f aca="false">IF(WEEKDAY(A19,2)&lt;=5,Übersicht!$B$4,0)</f>
        <v>0</v>
      </c>
      <c r="F19" s="20" t="str">
        <f aca="false">IF(OR(C19="U",C19="K",C19="F",C19="G"),IF(D19="",0,D19),IF(D19="","",D19-E19))</f>
        <v/>
      </c>
      <c r="G19" s="21"/>
    </row>
    <row r="20" customFormat="false" ht="15" hidden="false" customHeight="false" outlineLevel="0" collapsed="false">
      <c r="A20" s="22" t="n">
        <v>45915</v>
      </c>
      <c r="B20" s="23" t="s">
        <v>47</v>
      </c>
      <c r="C20" s="24"/>
      <c r="D20" s="25"/>
      <c r="E20" s="10" t="n">
        <f aca="false">IF(WEEKDAY(A20,2)&lt;=5,Übersicht!$B$4,0)</f>
        <v>8</v>
      </c>
      <c r="F20" s="10" t="str">
        <f aca="false">IF(OR(C20="U",C20="K",C20="F",C20="G"),IF(D20="",0,D20),IF(D20="","",D20-E20))</f>
        <v/>
      </c>
      <c r="G20" s="26"/>
    </row>
    <row r="21" customFormat="false" ht="15" hidden="false" customHeight="false" outlineLevel="0" collapsed="false">
      <c r="A21" s="22" t="n">
        <v>45916</v>
      </c>
      <c r="B21" s="23" t="s">
        <v>48</v>
      </c>
      <c r="C21" s="24"/>
      <c r="D21" s="25"/>
      <c r="E21" s="10" t="n">
        <f aca="false">IF(WEEKDAY(A21,2)&lt;=5,Übersicht!$B$4,0)</f>
        <v>8</v>
      </c>
      <c r="F21" s="10" t="str">
        <f aca="false">IF(OR(C21="U",C21="K",C21="F",C21="G"),IF(D21="",0,D21),IF(D21="","",D21-E21))</f>
        <v/>
      </c>
      <c r="G21" s="26"/>
    </row>
    <row r="22" customFormat="false" ht="15" hidden="false" customHeight="false" outlineLevel="0" collapsed="false">
      <c r="A22" s="22" t="n">
        <v>45917</v>
      </c>
      <c r="B22" s="23" t="s">
        <v>49</v>
      </c>
      <c r="C22" s="24"/>
      <c r="D22" s="25"/>
      <c r="E22" s="10" t="n">
        <f aca="false">IF(WEEKDAY(A22,2)&lt;=5,Übersicht!$B$4,0)</f>
        <v>8</v>
      </c>
      <c r="F22" s="10" t="str">
        <f aca="false">IF(OR(C22="U",C22="K",C22="F",C22="G"),IF(D22="",0,D22),IF(D22="","",D22-E22))</f>
        <v/>
      </c>
      <c r="G22" s="26"/>
    </row>
    <row r="23" customFormat="false" ht="15" hidden="false" customHeight="false" outlineLevel="0" collapsed="false">
      <c r="A23" s="22" t="n">
        <v>45918</v>
      </c>
      <c r="B23" s="23" t="s">
        <v>50</v>
      </c>
      <c r="C23" s="24"/>
      <c r="D23" s="25"/>
      <c r="E23" s="10" t="n">
        <f aca="false">IF(WEEKDAY(A23,2)&lt;=5,Übersicht!$B$4,0)</f>
        <v>8</v>
      </c>
      <c r="F23" s="10" t="str">
        <f aca="false">IF(OR(C23="U",C23="K",C23="F",C23="G"),IF(D23="",0,D23),IF(D23="","",D23-E23))</f>
        <v/>
      </c>
      <c r="G23" s="26"/>
    </row>
    <row r="24" customFormat="false" ht="15" hidden="false" customHeight="false" outlineLevel="0" collapsed="false">
      <c r="A24" s="22" t="n">
        <v>45919</v>
      </c>
      <c r="B24" s="23" t="s">
        <v>51</v>
      </c>
      <c r="C24" s="24"/>
      <c r="D24" s="25"/>
      <c r="E24" s="10" t="n">
        <f aca="false">IF(WEEKDAY(A24,2)&lt;=5,Übersicht!$B$4,0)</f>
        <v>8</v>
      </c>
      <c r="F24" s="10" t="str">
        <f aca="false">IF(OR(C24="U",C24="K",C24="F",C24="G"),IF(D24="",0,D24),IF(D24="","",D24-E24))</f>
        <v/>
      </c>
      <c r="G24" s="26"/>
    </row>
    <row r="25" customFormat="false" ht="15" hidden="false" customHeight="false" outlineLevel="0" collapsed="false">
      <c r="A25" s="16" t="n">
        <v>45920</v>
      </c>
      <c r="B25" s="17" t="s">
        <v>45</v>
      </c>
      <c r="C25" s="18"/>
      <c r="D25" s="19"/>
      <c r="E25" s="20" t="n">
        <f aca="false">IF(WEEKDAY(A25,2)&lt;=5,Übersicht!$B$4,0)</f>
        <v>0</v>
      </c>
      <c r="F25" s="20" t="str">
        <f aca="false">IF(OR(C25="U",C25="K",C25="F",C25="G"),IF(D25="",0,D25),IF(D25="","",D25-E25))</f>
        <v/>
      </c>
      <c r="G25" s="21"/>
    </row>
    <row r="26" customFormat="false" ht="15" hidden="false" customHeight="false" outlineLevel="0" collapsed="false">
      <c r="A26" s="16" t="n">
        <v>45921</v>
      </c>
      <c r="B26" s="17" t="s">
        <v>46</v>
      </c>
      <c r="C26" s="18"/>
      <c r="D26" s="19"/>
      <c r="E26" s="20" t="n">
        <f aca="false">IF(WEEKDAY(A26,2)&lt;=5,Übersicht!$B$4,0)</f>
        <v>0</v>
      </c>
      <c r="F26" s="20" t="str">
        <f aca="false">IF(OR(C26="U",C26="K",C26="F",C26="G"),IF(D26="",0,D26),IF(D26="","",D26-E26))</f>
        <v/>
      </c>
      <c r="G26" s="21"/>
    </row>
    <row r="27" customFormat="false" ht="15" hidden="false" customHeight="false" outlineLevel="0" collapsed="false">
      <c r="A27" s="22" t="n">
        <v>45922</v>
      </c>
      <c r="B27" s="23" t="s">
        <v>47</v>
      </c>
      <c r="C27" s="24"/>
      <c r="D27" s="25"/>
      <c r="E27" s="10" t="n">
        <f aca="false">IF(WEEKDAY(A27,2)&lt;=5,Übersicht!$B$4,0)</f>
        <v>8</v>
      </c>
      <c r="F27" s="10" t="str">
        <f aca="false">IF(OR(C27="U",C27="K",C27="F",C27="G"),IF(D27="",0,D27),IF(D27="","",D27-E27))</f>
        <v/>
      </c>
      <c r="G27" s="26"/>
    </row>
    <row r="28" customFormat="false" ht="15" hidden="false" customHeight="false" outlineLevel="0" collapsed="false">
      <c r="A28" s="22" t="n">
        <v>45923</v>
      </c>
      <c r="B28" s="23" t="s">
        <v>48</v>
      </c>
      <c r="C28" s="24"/>
      <c r="D28" s="25"/>
      <c r="E28" s="10" t="n">
        <f aca="false">IF(WEEKDAY(A28,2)&lt;=5,Übersicht!$B$4,0)</f>
        <v>8</v>
      </c>
      <c r="F28" s="10" t="str">
        <f aca="false">IF(OR(C28="U",C28="K",C28="F",C28="G"),IF(D28="",0,D28),IF(D28="","",D28-E28))</f>
        <v/>
      </c>
      <c r="G28" s="26"/>
    </row>
    <row r="29" customFormat="false" ht="15" hidden="false" customHeight="false" outlineLevel="0" collapsed="false">
      <c r="A29" s="22" t="n">
        <v>45924</v>
      </c>
      <c r="B29" s="23" t="s">
        <v>49</v>
      </c>
      <c r="C29" s="24"/>
      <c r="D29" s="25"/>
      <c r="E29" s="10" t="n">
        <f aca="false">IF(WEEKDAY(A29,2)&lt;=5,Übersicht!$B$4,0)</f>
        <v>8</v>
      </c>
      <c r="F29" s="10" t="str">
        <f aca="false">IF(OR(C29="U",C29="K",C29="F",C29="G"),IF(D29="",0,D29),IF(D29="","",D29-E29))</f>
        <v/>
      </c>
      <c r="G29" s="26"/>
    </row>
    <row r="30" customFormat="false" ht="15" hidden="false" customHeight="false" outlineLevel="0" collapsed="false">
      <c r="A30" s="22" t="n">
        <v>45925</v>
      </c>
      <c r="B30" s="23" t="s">
        <v>50</v>
      </c>
      <c r="C30" s="24"/>
      <c r="D30" s="25"/>
      <c r="E30" s="10" t="n">
        <f aca="false">IF(WEEKDAY(A30,2)&lt;=5,Übersicht!$B$4,0)</f>
        <v>8</v>
      </c>
      <c r="F30" s="10" t="str">
        <f aca="false">IF(OR(C30="U",C30="K",C30="F",C30="G"),IF(D30="",0,D30),IF(D30="","",D30-E30))</f>
        <v/>
      </c>
      <c r="G30" s="26"/>
    </row>
    <row r="31" customFormat="false" ht="15" hidden="false" customHeight="false" outlineLevel="0" collapsed="false">
      <c r="A31" s="22" t="n">
        <v>45926</v>
      </c>
      <c r="B31" s="23" t="s">
        <v>51</v>
      </c>
      <c r="C31" s="24"/>
      <c r="D31" s="25"/>
      <c r="E31" s="10" t="n">
        <f aca="false">IF(WEEKDAY(A31,2)&lt;=5,Übersicht!$B$4,0)</f>
        <v>8</v>
      </c>
      <c r="F31" s="10" t="str">
        <f aca="false">IF(OR(C31="U",C31="K",C31="F",C31="G"),IF(D31="",0,D31),IF(D31="","",D31-E31))</f>
        <v/>
      </c>
      <c r="G31" s="26"/>
    </row>
    <row r="32" customFormat="false" ht="15" hidden="false" customHeight="false" outlineLevel="0" collapsed="false">
      <c r="A32" s="16" t="n">
        <v>45927</v>
      </c>
      <c r="B32" s="17" t="s">
        <v>45</v>
      </c>
      <c r="C32" s="18"/>
      <c r="D32" s="19"/>
      <c r="E32" s="20" t="n">
        <f aca="false">IF(WEEKDAY(A32,2)&lt;=5,Übersicht!$B$4,0)</f>
        <v>0</v>
      </c>
      <c r="F32" s="20" t="str">
        <f aca="false">IF(OR(C32="U",C32="K",C32="F",C32="G"),IF(D32="",0,D32),IF(D32="","",D32-E32))</f>
        <v/>
      </c>
      <c r="G32" s="21"/>
    </row>
    <row r="33" customFormat="false" ht="15" hidden="false" customHeight="false" outlineLevel="0" collapsed="false">
      <c r="A33" s="16" t="n">
        <v>45928</v>
      </c>
      <c r="B33" s="17" t="s">
        <v>46</v>
      </c>
      <c r="C33" s="18"/>
      <c r="D33" s="19"/>
      <c r="E33" s="20" t="n">
        <f aca="false">IF(WEEKDAY(A33,2)&lt;=5,Übersicht!$B$4,0)</f>
        <v>0</v>
      </c>
      <c r="F33" s="20" t="str">
        <f aca="false">IF(OR(C33="U",C33="K",C33="F",C33="G"),IF(D33="",0,D33),IF(D33="","",D33-E33))</f>
        <v/>
      </c>
      <c r="G33" s="21"/>
    </row>
    <row r="34" customFormat="false" ht="15" hidden="false" customHeight="false" outlineLevel="0" collapsed="false">
      <c r="A34" s="22" t="n">
        <v>45929</v>
      </c>
      <c r="B34" s="23" t="s">
        <v>47</v>
      </c>
      <c r="C34" s="24"/>
      <c r="D34" s="25"/>
      <c r="E34" s="10" t="n">
        <f aca="false">IF(WEEKDAY(A34,2)&lt;=5,Übersicht!$B$4,0)</f>
        <v>8</v>
      </c>
      <c r="F34" s="10" t="str">
        <f aca="false">IF(OR(C34="U",C34="K",C34="F",C34="G"),IF(D34="",0,D34),IF(D34="","",D34-E34))</f>
        <v/>
      </c>
      <c r="G34" s="26"/>
    </row>
    <row r="35" customFormat="false" ht="15" hidden="false" customHeight="false" outlineLevel="0" collapsed="false">
      <c r="A35" s="22" t="n">
        <v>45930</v>
      </c>
      <c r="B35" s="23" t="s">
        <v>48</v>
      </c>
      <c r="C35" s="24"/>
      <c r="D35" s="25"/>
      <c r="E35" s="10" t="n">
        <f aca="false">IF(WEEKDAY(A35,2)&lt;=5,Übersicht!$B$4,0)</f>
        <v>8</v>
      </c>
      <c r="F35" s="10" t="str">
        <f aca="false">IF(OR(C35="U",C35="K",C35="F",C35="G"),IF(D35="",0,D35),IF(D35="","",D35-E35))</f>
        <v/>
      </c>
      <c r="G35" s="26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0</v>
      </c>
      <c r="E38" s="12" t="n">
        <f aca="false">SUM(E6:E36)</f>
        <v>176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22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Übersicht!F23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5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G34" activeCellId="0" sqref="G3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68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22" t="n">
        <v>45931</v>
      </c>
      <c r="B6" s="23" t="s">
        <v>49</v>
      </c>
      <c r="C6" s="24"/>
      <c r="D6" s="25"/>
      <c r="E6" s="10" t="n">
        <f aca="false">IF(WEEKDAY(A6,2)&lt;=5,Übersicht!$B$4,0)</f>
        <v>8</v>
      </c>
      <c r="F6" s="10" t="str">
        <f aca="false">IF(OR(C6="U",C6="K",C6="F",C6="G"),IF(D6="",0,D6),IF(D6="","",D6-E6))</f>
        <v/>
      </c>
      <c r="G6" s="26"/>
    </row>
    <row r="7" customFormat="false" ht="15" hidden="false" customHeight="false" outlineLevel="0" collapsed="false">
      <c r="A7" s="22" t="n">
        <v>45932</v>
      </c>
      <c r="B7" s="23" t="s">
        <v>50</v>
      </c>
      <c r="C7" s="24"/>
      <c r="D7" s="25"/>
      <c r="E7" s="10" t="n">
        <f aca="false">IF(WEEKDAY(A7,2)&lt;=5,Übersicht!$B$4,0)</f>
        <v>8</v>
      </c>
      <c r="F7" s="10" t="str">
        <f aca="false">IF(OR(C7="U",C7="K",C7="F",C7="G"),IF(D7="",0,D7),IF(D7="","",D7-E7))</f>
        <v/>
      </c>
      <c r="G7" s="26"/>
    </row>
    <row r="8" customFormat="false" ht="15" hidden="false" customHeight="false" outlineLevel="0" collapsed="false">
      <c r="A8" s="22" t="n">
        <v>45933</v>
      </c>
      <c r="B8" s="23" t="s">
        <v>51</v>
      </c>
      <c r="C8" s="24" t="s">
        <v>56</v>
      </c>
      <c r="D8" s="25"/>
      <c r="E8" s="10" t="n">
        <f aca="false">IF(WEEKDAY(A8,2)&lt;=5,Übersicht!$B$4,0)</f>
        <v>8</v>
      </c>
      <c r="F8" s="10" t="n">
        <f aca="false">IF(OR(C8="U",C8="K",C8="F",C8="G"),IF(D8="",0,D8),IF(D8="","",D8-E8))</f>
        <v>0</v>
      </c>
      <c r="G8" s="26" t="s">
        <v>69</v>
      </c>
    </row>
    <row r="9" customFormat="false" ht="15" hidden="false" customHeight="false" outlineLevel="0" collapsed="false">
      <c r="A9" s="16" t="n">
        <v>45934</v>
      </c>
      <c r="B9" s="17" t="s">
        <v>45</v>
      </c>
      <c r="C9" s="18"/>
      <c r="D9" s="19"/>
      <c r="E9" s="20" t="n">
        <f aca="false">IF(WEEKDAY(A9,2)&lt;=5,Übersicht!$B$4,0)</f>
        <v>0</v>
      </c>
      <c r="F9" s="20" t="str">
        <f aca="false">IF(OR(C9="U",C9="K",C9="F",C9="G"),IF(D9="",0,D9),IF(D9="","",D9-E9))</f>
        <v/>
      </c>
      <c r="G9" s="21"/>
    </row>
    <row r="10" customFormat="false" ht="15" hidden="false" customHeight="false" outlineLevel="0" collapsed="false">
      <c r="A10" s="16" t="n">
        <v>45935</v>
      </c>
      <c r="B10" s="17" t="s">
        <v>46</v>
      </c>
      <c r="C10" s="18"/>
      <c r="D10" s="19"/>
      <c r="E10" s="20" t="n">
        <f aca="false">IF(WEEKDAY(A10,2)&lt;=5,Übersicht!$B$4,0)</f>
        <v>0</v>
      </c>
      <c r="F10" s="20" t="str">
        <f aca="false">IF(OR(C10="U",C10="K",C10="F",C10="G"),IF(D10="",0,D10),IF(D10="","",D10-E10))</f>
        <v/>
      </c>
      <c r="G10" s="21"/>
    </row>
    <row r="11" customFormat="false" ht="15" hidden="false" customHeight="false" outlineLevel="0" collapsed="false">
      <c r="A11" s="22" t="n">
        <v>45936</v>
      </c>
      <c r="B11" s="23" t="s">
        <v>47</v>
      </c>
      <c r="C11" s="24"/>
      <c r="D11" s="25"/>
      <c r="E11" s="10" t="n">
        <f aca="false">IF(WEEKDAY(A11,2)&lt;=5,Übersicht!$B$4,0)</f>
        <v>8</v>
      </c>
      <c r="F11" s="10" t="str">
        <f aca="false">IF(OR(C11="U",C11="K",C11="F",C11="G"),IF(D11="",0,D11),IF(D11="","",D11-E11))</f>
        <v/>
      </c>
      <c r="G11" s="26"/>
    </row>
    <row r="12" customFormat="false" ht="15" hidden="false" customHeight="false" outlineLevel="0" collapsed="false">
      <c r="A12" s="22" t="n">
        <v>45937</v>
      </c>
      <c r="B12" s="23" t="s">
        <v>48</v>
      </c>
      <c r="C12" s="24"/>
      <c r="D12" s="25"/>
      <c r="E12" s="10" t="n">
        <f aca="false">IF(WEEKDAY(A12,2)&lt;=5,Übersicht!$B$4,0)</f>
        <v>8</v>
      </c>
      <c r="F12" s="10" t="str">
        <f aca="false">IF(OR(C12="U",C12="K",C12="F",C12="G"),IF(D12="",0,D12),IF(D12="","",D12-E12))</f>
        <v/>
      </c>
      <c r="G12" s="26"/>
    </row>
    <row r="13" customFormat="false" ht="15" hidden="false" customHeight="false" outlineLevel="0" collapsed="false">
      <c r="A13" s="22" t="n">
        <v>45938</v>
      </c>
      <c r="B13" s="23" t="s">
        <v>49</v>
      </c>
      <c r="C13" s="24"/>
      <c r="D13" s="25"/>
      <c r="E13" s="10" t="n">
        <f aca="false">IF(WEEKDAY(A13,2)&lt;=5,Übersicht!$B$4,0)</f>
        <v>8</v>
      </c>
      <c r="F13" s="10" t="str">
        <f aca="false">IF(OR(C13="U",C13="K",C13="F",C13="G"),IF(D13="",0,D13),IF(D13="","",D13-E13))</f>
        <v/>
      </c>
      <c r="G13" s="26"/>
    </row>
    <row r="14" customFormat="false" ht="15" hidden="false" customHeight="false" outlineLevel="0" collapsed="false">
      <c r="A14" s="22" t="n">
        <v>45939</v>
      </c>
      <c r="B14" s="23" t="s">
        <v>50</v>
      </c>
      <c r="C14" s="24"/>
      <c r="D14" s="25"/>
      <c r="E14" s="10" t="n">
        <f aca="false">IF(WEEKDAY(A14,2)&lt;=5,Übersicht!$B$4,0)</f>
        <v>8</v>
      </c>
      <c r="F14" s="10" t="str">
        <f aca="false">IF(OR(C14="U",C14="K",C14="F",C14="G"),IF(D14="",0,D14),IF(D14="","",D14-E14))</f>
        <v/>
      </c>
      <c r="G14" s="26"/>
    </row>
    <row r="15" customFormat="false" ht="15" hidden="false" customHeight="false" outlineLevel="0" collapsed="false">
      <c r="A15" s="22" t="n">
        <v>45940</v>
      </c>
      <c r="B15" s="23" t="s">
        <v>51</v>
      </c>
      <c r="C15" s="24"/>
      <c r="D15" s="25"/>
      <c r="E15" s="10" t="n">
        <f aca="false">IF(WEEKDAY(A15,2)&lt;=5,Übersicht!$B$4,0)</f>
        <v>8</v>
      </c>
      <c r="F15" s="10" t="str">
        <f aca="false">IF(OR(C15="U",C15="K",C15="F",C15="G"),IF(D15="",0,D15),IF(D15="","",D15-E15))</f>
        <v/>
      </c>
      <c r="G15" s="26"/>
    </row>
    <row r="16" customFormat="false" ht="15" hidden="false" customHeight="false" outlineLevel="0" collapsed="false">
      <c r="A16" s="16" t="n">
        <v>45941</v>
      </c>
      <c r="B16" s="17" t="s">
        <v>45</v>
      </c>
      <c r="C16" s="18"/>
      <c r="D16" s="19"/>
      <c r="E16" s="20" t="n">
        <f aca="false">IF(WEEKDAY(A16,2)&lt;=5,Übersicht!$B$4,0)</f>
        <v>0</v>
      </c>
      <c r="F16" s="20" t="str">
        <f aca="false">IF(OR(C16="U",C16="K",C16="F",C16="G"),IF(D16="",0,D16),IF(D16="","",D16-E16))</f>
        <v/>
      </c>
      <c r="G16" s="21"/>
    </row>
    <row r="17" customFormat="false" ht="15" hidden="false" customHeight="false" outlineLevel="0" collapsed="false">
      <c r="A17" s="16" t="n">
        <v>45942</v>
      </c>
      <c r="B17" s="17" t="s">
        <v>46</v>
      </c>
      <c r="C17" s="18"/>
      <c r="D17" s="19"/>
      <c r="E17" s="20" t="n">
        <f aca="false">IF(WEEKDAY(A17,2)&lt;=5,Übersicht!$B$4,0)</f>
        <v>0</v>
      </c>
      <c r="F17" s="20" t="str">
        <f aca="false">IF(OR(C17="U",C17="K",C17="F",C17="G"),IF(D17="",0,D17),IF(D17="","",D17-E17))</f>
        <v/>
      </c>
      <c r="G17" s="21"/>
    </row>
    <row r="18" customFormat="false" ht="15" hidden="false" customHeight="false" outlineLevel="0" collapsed="false">
      <c r="A18" s="22" t="n">
        <v>45943</v>
      </c>
      <c r="B18" s="23" t="s">
        <v>47</v>
      </c>
      <c r="C18" s="24"/>
      <c r="D18" s="25"/>
      <c r="E18" s="10" t="n">
        <f aca="false">IF(WEEKDAY(A18,2)&lt;=5,Übersicht!$B$4,0)</f>
        <v>8</v>
      </c>
      <c r="F18" s="10" t="str">
        <f aca="false">IF(OR(C18="U",C18="K",C18="F",C18="G"),IF(D18="",0,D18),IF(D18="","",D18-E18))</f>
        <v/>
      </c>
      <c r="G18" s="26"/>
    </row>
    <row r="19" customFormat="false" ht="15" hidden="false" customHeight="false" outlineLevel="0" collapsed="false">
      <c r="A19" s="22" t="n">
        <v>45944</v>
      </c>
      <c r="B19" s="23" t="s">
        <v>48</v>
      </c>
      <c r="C19" s="24"/>
      <c r="D19" s="25"/>
      <c r="E19" s="10" t="n">
        <f aca="false">IF(WEEKDAY(A19,2)&lt;=5,Übersicht!$B$4,0)</f>
        <v>8</v>
      </c>
      <c r="F19" s="10" t="str">
        <f aca="false">IF(OR(C19="U",C19="K",C19="F",C19="G"),IF(D19="",0,D19),IF(D19="","",D19-E19))</f>
        <v/>
      </c>
      <c r="G19" s="26"/>
    </row>
    <row r="20" customFormat="false" ht="15" hidden="false" customHeight="false" outlineLevel="0" collapsed="false">
      <c r="A20" s="22" t="n">
        <v>45945</v>
      </c>
      <c r="B20" s="23" t="s">
        <v>49</v>
      </c>
      <c r="C20" s="24"/>
      <c r="D20" s="25"/>
      <c r="E20" s="10" t="n">
        <f aca="false">IF(WEEKDAY(A20,2)&lt;=5,Übersicht!$B$4,0)</f>
        <v>8</v>
      </c>
      <c r="F20" s="10" t="str">
        <f aca="false">IF(OR(C20="U",C20="K",C20="F",C20="G"),IF(D20="",0,D20),IF(D20="","",D20-E20))</f>
        <v/>
      </c>
      <c r="G20" s="26"/>
    </row>
    <row r="21" customFormat="false" ht="15" hidden="false" customHeight="false" outlineLevel="0" collapsed="false">
      <c r="A21" s="22" t="n">
        <v>45946</v>
      </c>
      <c r="B21" s="23" t="s">
        <v>50</v>
      </c>
      <c r="C21" s="24"/>
      <c r="D21" s="25"/>
      <c r="E21" s="10" t="n">
        <f aca="false">IF(WEEKDAY(A21,2)&lt;=5,Übersicht!$B$4,0)</f>
        <v>8</v>
      </c>
      <c r="F21" s="10" t="str">
        <f aca="false">IF(OR(C21="U",C21="K",C21="F",C21="G"),IF(D21="",0,D21),IF(D21="","",D21-E21))</f>
        <v/>
      </c>
      <c r="G21" s="26"/>
    </row>
    <row r="22" customFormat="false" ht="15" hidden="false" customHeight="false" outlineLevel="0" collapsed="false">
      <c r="A22" s="22" t="n">
        <v>45947</v>
      </c>
      <c r="B22" s="23" t="s">
        <v>51</v>
      </c>
      <c r="C22" s="24"/>
      <c r="D22" s="25"/>
      <c r="E22" s="10" t="n">
        <f aca="false">IF(WEEKDAY(A22,2)&lt;=5,Übersicht!$B$4,0)</f>
        <v>8</v>
      </c>
      <c r="F22" s="10" t="str">
        <f aca="false">IF(OR(C22="U",C22="K",C22="F",C22="G"),IF(D22="",0,D22),IF(D22="","",D22-E22))</f>
        <v/>
      </c>
      <c r="G22" s="26"/>
    </row>
    <row r="23" customFormat="false" ht="15" hidden="false" customHeight="false" outlineLevel="0" collapsed="false">
      <c r="A23" s="16" t="n">
        <v>45948</v>
      </c>
      <c r="B23" s="17" t="s">
        <v>45</v>
      </c>
      <c r="C23" s="18"/>
      <c r="D23" s="19"/>
      <c r="E23" s="20" t="n">
        <f aca="false">IF(WEEKDAY(A23,2)&lt;=5,Übersicht!$B$4,0)</f>
        <v>0</v>
      </c>
      <c r="F23" s="20" t="str">
        <f aca="false">IF(OR(C23="U",C23="K",C23="F",C23="G"),IF(D23="",0,D23),IF(D23="","",D23-E23))</f>
        <v/>
      </c>
      <c r="G23" s="21"/>
    </row>
    <row r="24" customFormat="false" ht="15" hidden="false" customHeight="false" outlineLevel="0" collapsed="false">
      <c r="A24" s="16" t="n">
        <v>45949</v>
      </c>
      <c r="B24" s="17" t="s">
        <v>46</v>
      </c>
      <c r="C24" s="18"/>
      <c r="D24" s="19"/>
      <c r="E24" s="20" t="n">
        <f aca="false">IF(WEEKDAY(A24,2)&lt;=5,Übersicht!$B$4,0)</f>
        <v>0</v>
      </c>
      <c r="F24" s="20" t="str">
        <f aca="false">IF(OR(C24="U",C24="K",C24="F",C24="G"),IF(D24="",0,D24),IF(D24="","",D24-E24))</f>
        <v/>
      </c>
      <c r="G24" s="21"/>
    </row>
    <row r="25" customFormat="false" ht="15" hidden="false" customHeight="false" outlineLevel="0" collapsed="false">
      <c r="A25" s="22" t="n">
        <v>45950</v>
      </c>
      <c r="B25" s="23" t="s">
        <v>47</v>
      </c>
      <c r="C25" s="24"/>
      <c r="D25" s="25"/>
      <c r="E25" s="10" t="n">
        <f aca="false">IF(WEEKDAY(A25,2)&lt;=5,Übersicht!$B$4,0)</f>
        <v>8</v>
      </c>
      <c r="F25" s="10" t="str">
        <f aca="false">IF(OR(C25="U",C25="K",C25="F",C25="G"),IF(D25="",0,D25),IF(D25="","",D25-E25))</f>
        <v/>
      </c>
      <c r="G25" s="26"/>
    </row>
    <row r="26" customFormat="false" ht="15" hidden="false" customHeight="false" outlineLevel="0" collapsed="false">
      <c r="A26" s="22" t="n">
        <v>45951</v>
      </c>
      <c r="B26" s="23" t="s">
        <v>48</v>
      </c>
      <c r="C26" s="24"/>
      <c r="D26" s="25"/>
      <c r="E26" s="10" t="n">
        <f aca="false">IF(WEEKDAY(A26,2)&lt;=5,Übersicht!$B$4,0)</f>
        <v>8</v>
      </c>
      <c r="F26" s="10" t="str">
        <f aca="false">IF(OR(C26="U",C26="K",C26="F",C26="G"),IF(D26="",0,D26),IF(D26="","",D26-E26))</f>
        <v/>
      </c>
      <c r="G26" s="26"/>
    </row>
    <row r="27" customFormat="false" ht="15" hidden="false" customHeight="false" outlineLevel="0" collapsed="false">
      <c r="A27" s="22" t="n">
        <v>45952</v>
      </c>
      <c r="B27" s="23" t="s">
        <v>49</v>
      </c>
      <c r="C27" s="24"/>
      <c r="D27" s="25"/>
      <c r="E27" s="10" t="n">
        <f aca="false">IF(WEEKDAY(A27,2)&lt;=5,Übersicht!$B$4,0)</f>
        <v>8</v>
      </c>
      <c r="F27" s="10" t="str">
        <f aca="false">IF(OR(C27="U",C27="K",C27="F",C27="G"),IF(D27="",0,D27),IF(D27="","",D27-E27))</f>
        <v/>
      </c>
      <c r="G27" s="26"/>
    </row>
    <row r="28" customFormat="false" ht="15" hidden="false" customHeight="false" outlineLevel="0" collapsed="false">
      <c r="A28" s="22" t="n">
        <v>45953</v>
      </c>
      <c r="B28" s="23" t="s">
        <v>50</v>
      </c>
      <c r="C28" s="24"/>
      <c r="D28" s="25"/>
      <c r="E28" s="10" t="n">
        <f aca="false">IF(WEEKDAY(A28,2)&lt;=5,Übersicht!$B$4,0)</f>
        <v>8</v>
      </c>
      <c r="F28" s="10" t="str">
        <f aca="false">IF(OR(C28="U",C28="K",C28="F",C28="G"),IF(D28="",0,D28),IF(D28="","",D28-E28))</f>
        <v/>
      </c>
      <c r="G28" s="26"/>
    </row>
    <row r="29" customFormat="false" ht="15" hidden="false" customHeight="false" outlineLevel="0" collapsed="false">
      <c r="A29" s="22" t="n">
        <v>45954</v>
      </c>
      <c r="B29" s="23" t="s">
        <v>51</v>
      </c>
      <c r="C29" s="24"/>
      <c r="D29" s="25"/>
      <c r="E29" s="10" t="n">
        <f aca="false">IF(WEEKDAY(A29,2)&lt;=5,Übersicht!$B$4,0)</f>
        <v>8</v>
      </c>
      <c r="F29" s="10" t="str">
        <f aca="false">IF(OR(C29="U",C29="K",C29="F",C29="G"),IF(D29="",0,D29),IF(D29="","",D29-E29))</f>
        <v/>
      </c>
      <c r="G29" s="26"/>
    </row>
    <row r="30" customFormat="false" ht="15" hidden="false" customHeight="false" outlineLevel="0" collapsed="false">
      <c r="A30" s="16" t="n">
        <v>45955</v>
      </c>
      <c r="B30" s="17" t="s">
        <v>45</v>
      </c>
      <c r="C30" s="18"/>
      <c r="D30" s="19"/>
      <c r="E30" s="20" t="n">
        <f aca="false">IF(WEEKDAY(A30,2)&lt;=5,Übersicht!$B$4,0)</f>
        <v>0</v>
      </c>
      <c r="F30" s="20" t="str">
        <f aca="false">IF(OR(C30="U",C30="K",C30="F",C30="G"),IF(D30="",0,D30),IF(D30="","",D30-E30))</f>
        <v/>
      </c>
      <c r="G30" s="21"/>
    </row>
    <row r="31" customFormat="false" ht="15" hidden="false" customHeight="false" outlineLevel="0" collapsed="false">
      <c r="A31" s="16" t="n">
        <v>45956</v>
      </c>
      <c r="B31" s="17" t="s">
        <v>46</v>
      </c>
      <c r="C31" s="18"/>
      <c r="D31" s="19"/>
      <c r="E31" s="20" t="n">
        <f aca="false">IF(WEEKDAY(A31,2)&lt;=5,Übersicht!$B$4,0)</f>
        <v>0</v>
      </c>
      <c r="F31" s="20" t="str">
        <f aca="false">IF(OR(C31="U",C31="K",C31="F",C31="G"),IF(D31="",0,D31),IF(D31="","",D31-E31))</f>
        <v/>
      </c>
      <c r="G31" s="21"/>
    </row>
    <row r="32" customFormat="false" ht="15" hidden="false" customHeight="false" outlineLevel="0" collapsed="false">
      <c r="A32" s="22" t="n">
        <v>45957</v>
      </c>
      <c r="B32" s="23" t="s">
        <v>47</v>
      </c>
      <c r="C32" s="24"/>
      <c r="D32" s="25"/>
      <c r="E32" s="10" t="n">
        <f aca="false">IF(WEEKDAY(A32,2)&lt;=5,Übersicht!$B$4,0)</f>
        <v>8</v>
      </c>
      <c r="F32" s="10" t="str">
        <f aca="false">IF(OR(C32="U",C32="K",C32="F",C32="G"),IF(D32="",0,D32),IF(D32="","",D32-E32))</f>
        <v/>
      </c>
      <c r="G32" s="26"/>
    </row>
    <row r="33" customFormat="false" ht="15" hidden="false" customHeight="false" outlineLevel="0" collapsed="false">
      <c r="A33" s="22" t="n">
        <v>45958</v>
      </c>
      <c r="B33" s="23" t="s">
        <v>48</v>
      </c>
      <c r="C33" s="24"/>
      <c r="D33" s="25"/>
      <c r="E33" s="10" t="n">
        <f aca="false">IF(WEEKDAY(A33,2)&lt;=5,Übersicht!$B$4,0)</f>
        <v>8</v>
      </c>
      <c r="F33" s="10" t="str">
        <f aca="false">IF(OR(C33="U",C33="K",C33="F",C33="G"),IF(D33="",0,D33),IF(D33="","",D33-E33))</f>
        <v/>
      </c>
      <c r="G33" s="26"/>
    </row>
    <row r="34" customFormat="false" ht="15" hidden="false" customHeight="false" outlineLevel="0" collapsed="false">
      <c r="A34" s="22" t="n">
        <v>45959</v>
      </c>
      <c r="B34" s="23" t="s">
        <v>49</v>
      </c>
      <c r="C34" s="24"/>
      <c r="D34" s="25"/>
      <c r="E34" s="10" t="n">
        <f aca="false">IF(WEEKDAY(A34,2)&lt;=5,Übersicht!$B$4,0)</f>
        <v>8</v>
      </c>
      <c r="F34" s="10" t="str">
        <f aca="false">IF(OR(C34="U",C34="K",C34="F",C34="G"),IF(D34="",0,D34),IF(D34="","",D34-E34))</f>
        <v/>
      </c>
      <c r="G34" s="26"/>
    </row>
    <row r="35" customFormat="false" ht="15" hidden="false" customHeight="false" outlineLevel="0" collapsed="false">
      <c r="A35" s="22" t="n">
        <v>45960</v>
      </c>
      <c r="B35" s="23" t="s">
        <v>50</v>
      </c>
      <c r="C35" s="24"/>
      <c r="D35" s="25"/>
      <c r="E35" s="10" t="n">
        <f aca="false">IF(WEEKDAY(A35,2)&lt;=5,Übersicht!$B$4,0)</f>
        <v>8</v>
      </c>
      <c r="F35" s="10" t="str">
        <f aca="false">IF(OR(C35="U",C35="K",C35="F",C35="G"),IF(D35="",0,D35),IF(D35="","",D35-E35))</f>
        <v/>
      </c>
      <c r="G35" s="26"/>
    </row>
    <row r="36" customFormat="false" ht="15" hidden="false" customHeight="false" outlineLevel="0" collapsed="false">
      <c r="A36" s="22" t="n">
        <v>45961</v>
      </c>
      <c r="B36" s="23" t="s">
        <v>51</v>
      </c>
      <c r="C36" s="24"/>
      <c r="D36" s="25"/>
      <c r="E36" s="10" t="n">
        <f aca="false">IF(WEEKDAY(A36,2)&lt;=5,Übersicht!$B$4,0)</f>
        <v>8</v>
      </c>
      <c r="F36" s="10" t="str">
        <f aca="false">IF(OR(C36="U",C36="K",C36="F",C36="G"),IF(D36="",0,D36),IF(D36="","",D36-E36))</f>
        <v/>
      </c>
      <c r="G36" s="26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8</v>
      </c>
      <c r="E38" s="12" t="n">
        <f aca="false">SUM(E6:E36)</f>
        <v>184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23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Übersicht!F24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6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C32" activeCellId="0" sqref="C3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70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16" t="n">
        <v>45962</v>
      </c>
      <c r="B6" s="17" t="s">
        <v>45</v>
      </c>
      <c r="C6" s="18" t="s">
        <v>56</v>
      </c>
      <c r="D6" s="19"/>
      <c r="E6" s="20" t="n">
        <f aca="false">IF(WEEKDAY(A6,2)&lt;=5,Übersicht!$B$4,0)</f>
        <v>0</v>
      </c>
      <c r="F6" s="20" t="n">
        <f aca="false">IF(OR(C6="U",C6="K",C6="F",C6="G"),IF(D6="",0,D6),IF(D6="","",D6-E6))</f>
        <v>0</v>
      </c>
      <c r="G6" s="21" t="s">
        <v>71</v>
      </c>
    </row>
    <row r="7" customFormat="false" ht="15" hidden="false" customHeight="false" outlineLevel="0" collapsed="false">
      <c r="A7" s="16" t="n">
        <v>45963</v>
      </c>
      <c r="B7" s="17" t="s">
        <v>46</v>
      </c>
      <c r="C7" s="18"/>
      <c r="D7" s="19"/>
      <c r="E7" s="20" t="n">
        <f aca="false">IF(WEEKDAY(A7,2)&lt;=5,Übersicht!$B$4,0)</f>
        <v>0</v>
      </c>
      <c r="F7" s="20" t="str">
        <f aca="false">IF(OR(C7="U",C7="K",C7="F",C7="G"),IF(D7="",0,D7),IF(D7="","",D7-E7))</f>
        <v/>
      </c>
      <c r="G7" s="21"/>
    </row>
    <row r="8" customFormat="false" ht="15" hidden="false" customHeight="false" outlineLevel="0" collapsed="false">
      <c r="A8" s="22" t="n">
        <v>45964</v>
      </c>
      <c r="B8" s="23" t="s">
        <v>47</v>
      </c>
      <c r="C8" s="24"/>
      <c r="D8" s="25"/>
      <c r="E8" s="10" t="n">
        <f aca="false">IF(WEEKDAY(A8,2)&lt;=5,Übersicht!$B$4,0)</f>
        <v>8</v>
      </c>
      <c r="F8" s="10" t="str">
        <f aca="false">IF(OR(C8="U",C8="K",C8="F",C8="G"),IF(D8="",0,D8),IF(D8="","",D8-E8))</f>
        <v/>
      </c>
      <c r="G8" s="26"/>
    </row>
    <row r="9" customFormat="false" ht="15" hidden="false" customHeight="false" outlineLevel="0" collapsed="false">
      <c r="A9" s="22" t="n">
        <v>45965</v>
      </c>
      <c r="B9" s="23" t="s">
        <v>48</v>
      </c>
      <c r="C9" s="24"/>
      <c r="D9" s="25"/>
      <c r="E9" s="10" t="n">
        <f aca="false">IF(WEEKDAY(A9,2)&lt;=5,Übersicht!$B$4,0)</f>
        <v>8</v>
      </c>
      <c r="F9" s="10" t="str">
        <f aca="false">IF(OR(C9="U",C9="K",C9="F",C9="G"),IF(D9="",0,D9),IF(D9="","",D9-E9))</f>
        <v/>
      </c>
      <c r="G9" s="26"/>
    </row>
    <row r="10" customFormat="false" ht="15" hidden="false" customHeight="false" outlineLevel="0" collapsed="false">
      <c r="A10" s="22" t="n">
        <v>45966</v>
      </c>
      <c r="B10" s="23" t="s">
        <v>49</v>
      </c>
      <c r="C10" s="24"/>
      <c r="D10" s="25"/>
      <c r="E10" s="10" t="n">
        <f aca="false">IF(WEEKDAY(A10,2)&lt;=5,Übersicht!$B$4,0)</f>
        <v>8</v>
      </c>
      <c r="F10" s="10" t="str">
        <f aca="false">IF(OR(C10="U",C10="K",C10="F",C10="G"),IF(D10="",0,D10),IF(D10="","",D10-E10))</f>
        <v/>
      </c>
      <c r="G10" s="26"/>
    </row>
    <row r="11" customFormat="false" ht="15" hidden="false" customHeight="false" outlineLevel="0" collapsed="false">
      <c r="A11" s="22" t="n">
        <v>45967</v>
      </c>
      <c r="B11" s="23" t="s">
        <v>50</v>
      </c>
      <c r="C11" s="24"/>
      <c r="D11" s="25"/>
      <c r="E11" s="10" t="n">
        <f aca="false">IF(WEEKDAY(A11,2)&lt;=5,Übersicht!$B$4,0)</f>
        <v>8</v>
      </c>
      <c r="F11" s="10" t="str">
        <f aca="false">IF(OR(C11="U",C11="K",C11="F",C11="G"),IF(D11="",0,D11),IF(D11="","",D11-E11))</f>
        <v/>
      </c>
      <c r="G11" s="26"/>
    </row>
    <row r="12" customFormat="false" ht="15" hidden="false" customHeight="false" outlineLevel="0" collapsed="false">
      <c r="A12" s="22" t="n">
        <v>45968</v>
      </c>
      <c r="B12" s="23" t="s">
        <v>51</v>
      </c>
      <c r="C12" s="24"/>
      <c r="D12" s="25"/>
      <c r="E12" s="10" t="n">
        <f aca="false">IF(WEEKDAY(A12,2)&lt;=5,Übersicht!$B$4,0)</f>
        <v>8</v>
      </c>
      <c r="F12" s="10" t="str">
        <f aca="false">IF(OR(C12="U",C12="K",C12="F",C12="G"),IF(D12="",0,D12),IF(D12="","",D12-E12))</f>
        <v/>
      </c>
      <c r="G12" s="26"/>
    </row>
    <row r="13" customFormat="false" ht="15" hidden="false" customHeight="false" outlineLevel="0" collapsed="false">
      <c r="A13" s="16" t="n">
        <v>45969</v>
      </c>
      <c r="B13" s="17" t="s">
        <v>45</v>
      </c>
      <c r="C13" s="18"/>
      <c r="D13" s="19"/>
      <c r="E13" s="20" t="n">
        <f aca="false">IF(WEEKDAY(A13,2)&lt;=5,Übersicht!$B$4,0)</f>
        <v>0</v>
      </c>
      <c r="F13" s="20" t="str">
        <f aca="false">IF(OR(C13="U",C13="K",C13="F",C13="G"),IF(D13="",0,D13),IF(D13="","",D13-E13))</f>
        <v/>
      </c>
      <c r="G13" s="21"/>
    </row>
    <row r="14" customFormat="false" ht="15" hidden="false" customHeight="false" outlineLevel="0" collapsed="false">
      <c r="A14" s="16" t="n">
        <v>45970</v>
      </c>
      <c r="B14" s="17" t="s">
        <v>46</v>
      </c>
      <c r="C14" s="18"/>
      <c r="D14" s="19"/>
      <c r="E14" s="20" t="n">
        <f aca="false">IF(WEEKDAY(A14,2)&lt;=5,Übersicht!$B$4,0)</f>
        <v>0</v>
      </c>
      <c r="F14" s="20" t="str">
        <f aca="false">IF(OR(C14="U",C14="K",C14="F",C14="G"),IF(D14="",0,D14),IF(D14="","",D14-E14))</f>
        <v/>
      </c>
      <c r="G14" s="21"/>
    </row>
    <row r="15" customFormat="false" ht="15" hidden="false" customHeight="false" outlineLevel="0" collapsed="false">
      <c r="A15" s="22" t="n">
        <v>45971</v>
      </c>
      <c r="B15" s="23" t="s">
        <v>47</v>
      </c>
      <c r="C15" s="24"/>
      <c r="D15" s="25"/>
      <c r="E15" s="10" t="n">
        <f aca="false">IF(WEEKDAY(A15,2)&lt;=5,Übersicht!$B$4,0)</f>
        <v>8</v>
      </c>
      <c r="F15" s="10" t="str">
        <f aca="false">IF(OR(C15="U",C15="K",C15="F",C15="G"),IF(D15="",0,D15),IF(D15="","",D15-E15))</f>
        <v/>
      </c>
      <c r="G15" s="26"/>
    </row>
    <row r="16" customFormat="false" ht="15" hidden="false" customHeight="false" outlineLevel="0" collapsed="false">
      <c r="A16" s="22" t="n">
        <v>45972</v>
      </c>
      <c r="B16" s="23" t="s">
        <v>48</v>
      </c>
      <c r="C16" s="24"/>
      <c r="D16" s="25"/>
      <c r="E16" s="10" t="n">
        <f aca="false">IF(WEEKDAY(A16,2)&lt;=5,Übersicht!$B$4,0)</f>
        <v>8</v>
      </c>
      <c r="F16" s="10" t="str">
        <f aca="false">IF(OR(C16="U",C16="K",C16="F",C16="G"),IF(D16="",0,D16),IF(D16="","",D16-E16))</f>
        <v/>
      </c>
      <c r="G16" s="26"/>
    </row>
    <row r="17" customFormat="false" ht="15" hidden="false" customHeight="false" outlineLevel="0" collapsed="false">
      <c r="A17" s="22" t="n">
        <v>45973</v>
      </c>
      <c r="B17" s="23" t="s">
        <v>49</v>
      </c>
      <c r="C17" s="24"/>
      <c r="D17" s="25"/>
      <c r="E17" s="10" t="n">
        <f aca="false">IF(WEEKDAY(A17,2)&lt;=5,Übersicht!$B$4,0)</f>
        <v>8</v>
      </c>
      <c r="F17" s="10" t="str">
        <f aca="false">IF(OR(C17="U",C17="K",C17="F",C17="G"),IF(D17="",0,D17),IF(D17="","",D17-E17))</f>
        <v/>
      </c>
      <c r="G17" s="26"/>
    </row>
    <row r="18" customFormat="false" ht="15" hidden="false" customHeight="false" outlineLevel="0" collapsed="false">
      <c r="A18" s="22" t="n">
        <v>45974</v>
      </c>
      <c r="B18" s="23" t="s">
        <v>50</v>
      </c>
      <c r="C18" s="24"/>
      <c r="D18" s="25"/>
      <c r="E18" s="10" t="n">
        <f aca="false">IF(WEEKDAY(A18,2)&lt;=5,Übersicht!$B$4,0)</f>
        <v>8</v>
      </c>
      <c r="F18" s="10" t="str">
        <f aca="false">IF(OR(C18="U",C18="K",C18="F",C18="G"),IF(D18="",0,D18),IF(D18="","",D18-E18))</f>
        <v/>
      </c>
      <c r="G18" s="26"/>
    </row>
    <row r="19" customFormat="false" ht="15" hidden="false" customHeight="false" outlineLevel="0" collapsed="false">
      <c r="A19" s="22" t="n">
        <v>45975</v>
      </c>
      <c r="B19" s="23" t="s">
        <v>51</v>
      </c>
      <c r="C19" s="24"/>
      <c r="D19" s="25"/>
      <c r="E19" s="10" t="n">
        <f aca="false">IF(WEEKDAY(A19,2)&lt;=5,Übersicht!$B$4,0)</f>
        <v>8</v>
      </c>
      <c r="F19" s="10" t="str">
        <f aca="false">IF(OR(C19="U",C19="K",C19="F",C19="G"),IF(D19="",0,D19),IF(D19="","",D19-E19))</f>
        <v/>
      </c>
      <c r="G19" s="26"/>
    </row>
    <row r="20" customFormat="false" ht="15" hidden="false" customHeight="false" outlineLevel="0" collapsed="false">
      <c r="A20" s="16" t="n">
        <v>45976</v>
      </c>
      <c r="B20" s="17" t="s">
        <v>45</v>
      </c>
      <c r="C20" s="18"/>
      <c r="D20" s="19"/>
      <c r="E20" s="20" t="n">
        <f aca="false">IF(WEEKDAY(A20,2)&lt;=5,Übersicht!$B$4,0)</f>
        <v>0</v>
      </c>
      <c r="F20" s="20" t="str">
        <f aca="false">IF(OR(C20="U",C20="K",C20="F",C20="G"),IF(D20="",0,D20),IF(D20="","",D20-E20))</f>
        <v/>
      </c>
      <c r="G20" s="21"/>
    </row>
    <row r="21" customFormat="false" ht="15" hidden="false" customHeight="false" outlineLevel="0" collapsed="false">
      <c r="A21" s="16" t="n">
        <v>45977</v>
      </c>
      <c r="B21" s="17" t="s">
        <v>46</v>
      </c>
      <c r="C21" s="18"/>
      <c r="D21" s="19"/>
      <c r="E21" s="20" t="n">
        <f aca="false">IF(WEEKDAY(A21,2)&lt;=5,Übersicht!$B$4,0)</f>
        <v>0</v>
      </c>
      <c r="F21" s="20" t="str">
        <f aca="false">IF(OR(C21="U",C21="K",C21="F",C21="G"),IF(D21="",0,D21),IF(D21="","",D21-E21))</f>
        <v/>
      </c>
      <c r="G21" s="21"/>
    </row>
    <row r="22" customFormat="false" ht="15" hidden="false" customHeight="false" outlineLevel="0" collapsed="false">
      <c r="A22" s="22" t="n">
        <v>45978</v>
      </c>
      <c r="B22" s="23" t="s">
        <v>47</v>
      </c>
      <c r="C22" s="24"/>
      <c r="D22" s="25"/>
      <c r="E22" s="10" t="n">
        <f aca="false">IF(WEEKDAY(A22,2)&lt;=5,Übersicht!$B$4,0)</f>
        <v>8</v>
      </c>
      <c r="F22" s="10" t="str">
        <f aca="false">IF(OR(C22="U",C22="K",C22="F",C22="G"),IF(D22="",0,D22),IF(D22="","",D22-E22))</f>
        <v/>
      </c>
      <c r="G22" s="26"/>
    </row>
    <row r="23" customFormat="false" ht="15" hidden="false" customHeight="false" outlineLevel="0" collapsed="false">
      <c r="A23" s="22" t="n">
        <v>45979</v>
      </c>
      <c r="B23" s="23" t="s">
        <v>48</v>
      </c>
      <c r="C23" s="24"/>
      <c r="D23" s="25"/>
      <c r="E23" s="10" t="n">
        <f aca="false">IF(WEEKDAY(A23,2)&lt;=5,Übersicht!$B$4,0)</f>
        <v>8</v>
      </c>
      <c r="F23" s="10" t="str">
        <f aca="false">IF(OR(C23="U",C23="K",C23="F",C23="G"),IF(D23="",0,D23),IF(D23="","",D23-E23))</f>
        <v/>
      </c>
      <c r="G23" s="26"/>
    </row>
    <row r="24" customFormat="false" ht="15" hidden="false" customHeight="false" outlineLevel="0" collapsed="false">
      <c r="A24" s="22" t="n">
        <v>45980</v>
      </c>
      <c r="B24" s="23" t="s">
        <v>49</v>
      </c>
      <c r="C24" s="24"/>
      <c r="D24" s="25"/>
      <c r="E24" s="10" t="n">
        <f aca="false">IF(WEEKDAY(A24,2)&lt;=5,Übersicht!$B$4,0)</f>
        <v>8</v>
      </c>
      <c r="F24" s="10" t="str">
        <f aca="false">IF(OR(C24="U",C24="K",C24="F",C24="G"),IF(D24="",0,D24),IF(D24="","",D24-E24))</f>
        <v/>
      </c>
      <c r="G24" s="26"/>
    </row>
    <row r="25" customFormat="false" ht="15" hidden="false" customHeight="false" outlineLevel="0" collapsed="false">
      <c r="A25" s="22" t="n">
        <v>45981</v>
      </c>
      <c r="B25" s="23" t="s">
        <v>50</v>
      </c>
      <c r="C25" s="24"/>
      <c r="D25" s="25"/>
      <c r="E25" s="10" t="n">
        <f aca="false">IF(WEEKDAY(A25,2)&lt;=5,Übersicht!$B$4,0)</f>
        <v>8</v>
      </c>
      <c r="F25" s="10" t="str">
        <f aca="false">IF(OR(C25="U",C25="K",C25="F",C25="G"),IF(D25="",0,D25),IF(D25="","",D25-E25))</f>
        <v/>
      </c>
      <c r="G25" s="26"/>
    </row>
    <row r="26" customFormat="false" ht="15" hidden="false" customHeight="false" outlineLevel="0" collapsed="false">
      <c r="A26" s="22" t="n">
        <v>45982</v>
      </c>
      <c r="B26" s="23" t="s">
        <v>51</v>
      </c>
      <c r="C26" s="24"/>
      <c r="D26" s="25"/>
      <c r="E26" s="10" t="n">
        <f aca="false">IF(WEEKDAY(A26,2)&lt;=5,Übersicht!$B$4,0)</f>
        <v>8</v>
      </c>
      <c r="F26" s="10" t="str">
        <f aca="false">IF(OR(C26="U",C26="K",C26="F",C26="G"),IF(D26="",0,D26),IF(D26="","",D26-E26))</f>
        <v/>
      </c>
      <c r="G26" s="26"/>
    </row>
    <row r="27" customFormat="false" ht="15" hidden="false" customHeight="false" outlineLevel="0" collapsed="false">
      <c r="A27" s="16" t="n">
        <v>45983</v>
      </c>
      <c r="B27" s="17" t="s">
        <v>45</v>
      </c>
      <c r="C27" s="18"/>
      <c r="D27" s="19"/>
      <c r="E27" s="20" t="n">
        <f aca="false">IF(WEEKDAY(A27,2)&lt;=5,Übersicht!$B$4,0)</f>
        <v>0</v>
      </c>
      <c r="F27" s="20" t="str">
        <f aca="false">IF(OR(C27="U",C27="K",C27="F",C27="G"),IF(D27="",0,D27),IF(D27="","",D27-E27))</f>
        <v/>
      </c>
      <c r="G27" s="21"/>
    </row>
    <row r="28" customFormat="false" ht="15" hidden="false" customHeight="false" outlineLevel="0" collapsed="false">
      <c r="A28" s="16" t="n">
        <v>45984</v>
      </c>
      <c r="B28" s="17" t="s">
        <v>46</v>
      </c>
      <c r="C28" s="18"/>
      <c r="D28" s="19"/>
      <c r="E28" s="20" t="n">
        <f aca="false">IF(WEEKDAY(A28,2)&lt;=5,Übersicht!$B$4,0)</f>
        <v>0</v>
      </c>
      <c r="F28" s="20" t="str">
        <f aca="false">IF(OR(C28="U",C28="K",C28="F",C28="G"),IF(D28="",0,D28),IF(D28="","",D28-E28))</f>
        <v/>
      </c>
      <c r="G28" s="21"/>
    </row>
    <row r="29" customFormat="false" ht="15" hidden="false" customHeight="false" outlineLevel="0" collapsed="false">
      <c r="A29" s="22" t="n">
        <v>45985</v>
      </c>
      <c r="B29" s="23" t="s">
        <v>47</v>
      </c>
      <c r="C29" s="24"/>
      <c r="D29" s="25"/>
      <c r="E29" s="10" t="n">
        <f aca="false">IF(WEEKDAY(A29,2)&lt;=5,Übersicht!$B$4,0)</f>
        <v>8</v>
      </c>
      <c r="F29" s="10" t="str">
        <f aca="false">IF(OR(C29="U",C29="K",C29="F",C29="G"),IF(D29="",0,D29),IF(D29="","",D29-E29))</f>
        <v/>
      </c>
      <c r="G29" s="26"/>
    </row>
    <row r="30" customFormat="false" ht="15" hidden="false" customHeight="false" outlineLevel="0" collapsed="false">
      <c r="A30" s="22" t="n">
        <v>45986</v>
      </c>
      <c r="B30" s="23" t="s">
        <v>48</v>
      </c>
      <c r="C30" s="24"/>
      <c r="D30" s="25"/>
      <c r="E30" s="10" t="n">
        <f aca="false">IF(WEEKDAY(A30,2)&lt;=5,Übersicht!$B$4,0)</f>
        <v>8</v>
      </c>
      <c r="F30" s="10" t="str">
        <f aca="false">IF(OR(C30="U",C30="K",C30="F",C30="G"),IF(D30="",0,D30),IF(D30="","",D30-E30))</f>
        <v/>
      </c>
      <c r="G30" s="26"/>
    </row>
    <row r="31" customFormat="false" ht="15" hidden="false" customHeight="false" outlineLevel="0" collapsed="false">
      <c r="A31" s="22" t="n">
        <v>45987</v>
      </c>
      <c r="B31" s="23" t="s">
        <v>49</v>
      </c>
      <c r="C31" s="24"/>
      <c r="D31" s="25"/>
      <c r="E31" s="10" t="n">
        <f aca="false">IF(WEEKDAY(A31,2)&lt;=5,Übersicht!$B$4,0)</f>
        <v>8</v>
      </c>
      <c r="F31" s="10" t="str">
        <f aca="false">IF(OR(C31="U",C31="K",C31="F",C31="G"),IF(D31="",0,D31),IF(D31="","",D31-E31))</f>
        <v/>
      </c>
      <c r="G31" s="26"/>
    </row>
    <row r="32" customFormat="false" ht="15" hidden="false" customHeight="false" outlineLevel="0" collapsed="false">
      <c r="A32" s="22" t="n">
        <v>45988</v>
      </c>
      <c r="B32" s="23" t="s">
        <v>50</v>
      </c>
      <c r="C32" s="24"/>
      <c r="D32" s="25"/>
      <c r="E32" s="10" t="n">
        <f aca="false">IF(WEEKDAY(A32,2)&lt;=5,Übersicht!$B$4,0)</f>
        <v>8</v>
      </c>
      <c r="F32" s="10" t="str">
        <f aca="false">IF(OR(C32="U",C32="K",C32="F",C32="G"),IF(D32="",0,D32),IF(D32="","",D32-E32))</f>
        <v/>
      </c>
      <c r="G32" s="26"/>
    </row>
    <row r="33" customFormat="false" ht="15" hidden="false" customHeight="false" outlineLevel="0" collapsed="false">
      <c r="A33" s="22" t="n">
        <v>45989</v>
      </c>
      <c r="B33" s="23" t="s">
        <v>51</v>
      </c>
      <c r="C33" s="24"/>
      <c r="D33" s="25"/>
      <c r="E33" s="10" t="n">
        <f aca="false">IF(WEEKDAY(A33,2)&lt;=5,Übersicht!$B$4,0)</f>
        <v>8</v>
      </c>
      <c r="F33" s="10" t="str">
        <f aca="false">IF(OR(C33="U",C33="K",C33="F",C33="G"),IF(D33="",0,D33),IF(D33="","",D33-E33))</f>
        <v/>
      </c>
      <c r="G33" s="26"/>
    </row>
    <row r="34" customFormat="false" ht="15" hidden="false" customHeight="false" outlineLevel="0" collapsed="false">
      <c r="A34" s="16" t="n">
        <v>45990</v>
      </c>
      <c r="B34" s="17" t="s">
        <v>45</v>
      </c>
      <c r="C34" s="18"/>
      <c r="D34" s="19"/>
      <c r="E34" s="20" t="n">
        <f aca="false">IF(WEEKDAY(A34,2)&lt;=5,Übersicht!$B$4,0)</f>
        <v>0</v>
      </c>
      <c r="F34" s="20" t="str">
        <f aca="false">IF(OR(C34="U",C34="K",C34="F",C34="G"),IF(D34="",0,D34),IF(D34="","",D34-E34))</f>
        <v/>
      </c>
      <c r="G34" s="21"/>
    </row>
    <row r="35" customFormat="false" ht="15" hidden="false" customHeight="false" outlineLevel="0" collapsed="false">
      <c r="A35" s="16" t="n">
        <v>45991</v>
      </c>
      <c r="B35" s="17" t="s">
        <v>46</v>
      </c>
      <c r="C35" s="18"/>
      <c r="D35" s="19"/>
      <c r="E35" s="20" t="n">
        <f aca="false">IF(WEEKDAY(A35,2)&lt;=5,Übersicht!$B$4,0)</f>
        <v>0</v>
      </c>
      <c r="F35" s="20" t="str">
        <f aca="false">IF(OR(C35="U",C35="K",C35="F",C35="G"),IF(D35="",0,D35),IF(D35="","",D35-E35))</f>
        <v/>
      </c>
      <c r="G35" s="21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0</v>
      </c>
      <c r="E38" s="12" t="n">
        <f aca="false">SUM(E6:E36)</f>
        <v>160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20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Übersicht!F25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5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G35" activeCellId="0" sqref="G3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72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22" t="n">
        <v>45992</v>
      </c>
      <c r="B6" s="23" t="s">
        <v>47</v>
      </c>
      <c r="C6" s="24"/>
      <c r="D6" s="25"/>
      <c r="E6" s="10" t="n">
        <f aca="false">IF(WEEKDAY(A6,2)&lt;=5,Übersicht!$B$4,0)</f>
        <v>8</v>
      </c>
      <c r="F6" s="10" t="str">
        <f aca="false">IF(OR(C6="U",C6="K",C6="F",C6="G"),IF(D6="",0,D6),IF(D6="","",D6-E6))</f>
        <v/>
      </c>
      <c r="G6" s="26"/>
    </row>
    <row r="7" customFormat="false" ht="15" hidden="false" customHeight="false" outlineLevel="0" collapsed="false">
      <c r="A7" s="22" t="n">
        <v>45993</v>
      </c>
      <c r="B7" s="23" t="s">
        <v>48</v>
      </c>
      <c r="C7" s="24"/>
      <c r="D7" s="25"/>
      <c r="E7" s="10" t="n">
        <f aca="false">IF(WEEKDAY(A7,2)&lt;=5,Übersicht!$B$4,0)</f>
        <v>8</v>
      </c>
      <c r="F7" s="10" t="str">
        <f aca="false">IF(OR(C7="U",C7="K",C7="F",C7="G"),IF(D7="",0,D7),IF(D7="","",D7-E7))</f>
        <v/>
      </c>
      <c r="G7" s="26"/>
    </row>
    <row r="8" customFormat="false" ht="15" hidden="false" customHeight="false" outlineLevel="0" collapsed="false">
      <c r="A8" s="22" t="n">
        <v>45994</v>
      </c>
      <c r="B8" s="23" t="s">
        <v>49</v>
      </c>
      <c r="C8" s="24"/>
      <c r="D8" s="25"/>
      <c r="E8" s="10" t="n">
        <f aca="false">IF(WEEKDAY(A8,2)&lt;=5,Übersicht!$B$4,0)</f>
        <v>8</v>
      </c>
      <c r="F8" s="10" t="str">
        <f aca="false">IF(OR(C8="U",C8="K",C8="F",C8="G"),IF(D8="",0,D8),IF(D8="","",D8-E8))</f>
        <v/>
      </c>
      <c r="G8" s="26"/>
    </row>
    <row r="9" customFormat="false" ht="15" hidden="false" customHeight="false" outlineLevel="0" collapsed="false">
      <c r="A9" s="22" t="n">
        <v>45995</v>
      </c>
      <c r="B9" s="23" t="s">
        <v>50</v>
      </c>
      <c r="C9" s="24"/>
      <c r="D9" s="25"/>
      <c r="E9" s="10" t="n">
        <f aca="false">IF(WEEKDAY(A9,2)&lt;=5,Übersicht!$B$4,0)</f>
        <v>8</v>
      </c>
      <c r="F9" s="10" t="str">
        <f aca="false">IF(OR(C9="U",C9="K",C9="F",C9="G"),IF(D9="",0,D9),IF(D9="","",D9-E9))</f>
        <v/>
      </c>
      <c r="G9" s="26"/>
    </row>
    <row r="10" customFormat="false" ht="15" hidden="false" customHeight="false" outlineLevel="0" collapsed="false">
      <c r="A10" s="22" t="n">
        <v>45996</v>
      </c>
      <c r="B10" s="23" t="s">
        <v>51</v>
      </c>
      <c r="C10" s="24"/>
      <c r="D10" s="25"/>
      <c r="E10" s="10" t="n">
        <f aca="false">IF(WEEKDAY(A10,2)&lt;=5,Übersicht!$B$4,0)</f>
        <v>8</v>
      </c>
      <c r="F10" s="10" t="str">
        <f aca="false">IF(OR(C10="U",C10="K",C10="F",C10="G"),IF(D10="",0,D10),IF(D10="","",D10-E10))</f>
        <v/>
      </c>
      <c r="G10" s="26"/>
    </row>
    <row r="11" customFormat="false" ht="15" hidden="false" customHeight="false" outlineLevel="0" collapsed="false">
      <c r="A11" s="16" t="n">
        <v>45997</v>
      </c>
      <c r="B11" s="17" t="s">
        <v>45</v>
      </c>
      <c r="C11" s="18"/>
      <c r="D11" s="19"/>
      <c r="E11" s="20" t="n">
        <f aca="false">IF(WEEKDAY(A11,2)&lt;=5,Übersicht!$B$4,0)</f>
        <v>0</v>
      </c>
      <c r="F11" s="20" t="str">
        <f aca="false">IF(OR(C11="U",C11="K",C11="F",C11="G"),IF(D11="",0,D11),IF(D11="","",D11-E11))</f>
        <v/>
      </c>
      <c r="G11" s="21"/>
    </row>
    <row r="12" customFormat="false" ht="15" hidden="false" customHeight="false" outlineLevel="0" collapsed="false">
      <c r="A12" s="16" t="n">
        <v>45998</v>
      </c>
      <c r="B12" s="17" t="s">
        <v>46</v>
      </c>
      <c r="C12" s="18"/>
      <c r="D12" s="19"/>
      <c r="E12" s="20" t="n">
        <f aca="false">IF(WEEKDAY(A12,2)&lt;=5,Übersicht!$B$4,0)</f>
        <v>0</v>
      </c>
      <c r="F12" s="20" t="str">
        <f aca="false">IF(OR(C12="U",C12="K",C12="F",C12="G"),IF(D12="",0,D12),IF(D12="","",D12-E12))</f>
        <v/>
      </c>
      <c r="G12" s="21"/>
    </row>
    <row r="13" customFormat="false" ht="15" hidden="false" customHeight="false" outlineLevel="0" collapsed="false">
      <c r="A13" s="22" t="n">
        <v>45999</v>
      </c>
      <c r="B13" s="23" t="s">
        <v>47</v>
      </c>
      <c r="C13" s="24"/>
      <c r="D13" s="25"/>
      <c r="E13" s="10" t="n">
        <f aca="false">IF(WEEKDAY(A13,2)&lt;=5,Übersicht!$B$4,0)</f>
        <v>8</v>
      </c>
      <c r="F13" s="10" t="str">
        <f aca="false">IF(OR(C13="U",C13="K",C13="F",C13="G"),IF(D13="",0,D13),IF(D13="","",D13-E13))</f>
        <v/>
      </c>
      <c r="G13" s="26"/>
    </row>
    <row r="14" customFormat="false" ht="15" hidden="false" customHeight="false" outlineLevel="0" collapsed="false">
      <c r="A14" s="22" t="n">
        <v>46000</v>
      </c>
      <c r="B14" s="23" t="s">
        <v>48</v>
      </c>
      <c r="C14" s="24"/>
      <c r="D14" s="25"/>
      <c r="E14" s="10" t="n">
        <f aca="false">IF(WEEKDAY(A14,2)&lt;=5,Übersicht!$B$4,0)</f>
        <v>8</v>
      </c>
      <c r="F14" s="10" t="str">
        <f aca="false">IF(OR(C14="U",C14="K",C14="F",C14="G"),IF(D14="",0,D14),IF(D14="","",D14-E14))</f>
        <v/>
      </c>
      <c r="G14" s="26"/>
    </row>
    <row r="15" customFormat="false" ht="15" hidden="false" customHeight="false" outlineLevel="0" collapsed="false">
      <c r="A15" s="22" t="n">
        <v>46001</v>
      </c>
      <c r="B15" s="23" t="s">
        <v>49</v>
      </c>
      <c r="C15" s="24"/>
      <c r="D15" s="25"/>
      <c r="E15" s="10" t="n">
        <f aca="false">IF(WEEKDAY(A15,2)&lt;=5,Übersicht!$B$4,0)</f>
        <v>8</v>
      </c>
      <c r="F15" s="10" t="str">
        <f aca="false">IF(OR(C15="U",C15="K",C15="F",C15="G"),IF(D15="",0,D15),IF(D15="","",D15-E15))</f>
        <v/>
      </c>
      <c r="G15" s="26"/>
    </row>
    <row r="16" customFormat="false" ht="15" hidden="false" customHeight="false" outlineLevel="0" collapsed="false">
      <c r="A16" s="22" t="n">
        <v>46002</v>
      </c>
      <c r="B16" s="23" t="s">
        <v>50</v>
      </c>
      <c r="C16" s="24"/>
      <c r="D16" s="25"/>
      <c r="E16" s="10" t="n">
        <f aca="false">IF(WEEKDAY(A16,2)&lt;=5,Übersicht!$B$4,0)</f>
        <v>8</v>
      </c>
      <c r="F16" s="10" t="str">
        <f aca="false">IF(OR(C16="U",C16="K",C16="F",C16="G"),IF(D16="",0,D16),IF(D16="","",D16-E16))</f>
        <v/>
      </c>
      <c r="G16" s="26"/>
    </row>
    <row r="17" customFormat="false" ht="15" hidden="false" customHeight="false" outlineLevel="0" collapsed="false">
      <c r="A17" s="22" t="n">
        <v>46003</v>
      </c>
      <c r="B17" s="23" t="s">
        <v>51</v>
      </c>
      <c r="C17" s="24"/>
      <c r="D17" s="25"/>
      <c r="E17" s="10" t="n">
        <f aca="false">IF(WEEKDAY(A17,2)&lt;=5,Übersicht!$B$4,0)</f>
        <v>8</v>
      </c>
      <c r="F17" s="10" t="str">
        <f aca="false">IF(OR(C17="U",C17="K",C17="F",C17="G"),IF(D17="",0,D17),IF(D17="","",D17-E17))</f>
        <v/>
      </c>
      <c r="G17" s="26"/>
    </row>
    <row r="18" customFormat="false" ht="15" hidden="false" customHeight="false" outlineLevel="0" collapsed="false">
      <c r="A18" s="16" t="n">
        <v>46004</v>
      </c>
      <c r="B18" s="17" t="s">
        <v>45</v>
      </c>
      <c r="C18" s="18"/>
      <c r="D18" s="19"/>
      <c r="E18" s="20" t="n">
        <f aca="false">IF(WEEKDAY(A18,2)&lt;=5,Übersicht!$B$4,0)</f>
        <v>0</v>
      </c>
      <c r="F18" s="20" t="str">
        <f aca="false">IF(OR(C18="U",C18="K",C18="F",C18="G"),IF(D18="",0,D18),IF(D18="","",D18-E18))</f>
        <v/>
      </c>
      <c r="G18" s="21"/>
    </row>
    <row r="19" customFormat="false" ht="15" hidden="false" customHeight="false" outlineLevel="0" collapsed="false">
      <c r="A19" s="16" t="n">
        <v>46005</v>
      </c>
      <c r="B19" s="17" t="s">
        <v>46</v>
      </c>
      <c r="C19" s="18"/>
      <c r="D19" s="19"/>
      <c r="E19" s="20" t="n">
        <f aca="false">IF(WEEKDAY(A19,2)&lt;=5,Übersicht!$B$4,0)</f>
        <v>0</v>
      </c>
      <c r="F19" s="20" t="str">
        <f aca="false">IF(OR(C19="U",C19="K",C19="F",C19="G"),IF(D19="",0,D19),IF(D19="","",D19-E19))</f>
        <v/>
      </c>
      <c r="G19" s="21"/>
    </row>
    <row r="20" customFormat="false" ht="15" hidden="false" customHeight="false" outlineLevel="0" collapsed="false">
      <c r="A20" s="22" t="n">
        <v>46006</v>
      </c>
      <c r="B20" s="23" t="s">
        <v>47</v>
      </c>
      <c r="C20" s="24"/>
      <c r="D20" s="25"/>
      <c r="E20" s="10" t="n">
        <f aca="false">IF(WEEKDAY(A20,2)&lt;=5,Übersicht!$B$4,0)</f>
        <v>8</v>
      </c>
      <c r="F20" s="10" t="str">
        <f aca="false">IF(OR(C20="U",C20="K",C20="F",C20="G"),IF(D20="",0,D20),IF(D20="","",D20-E20))</f>
        <v/>
      </c>
      <c r="G20" s="26"/>
    </row>
    <row r="21" customFormat="false" ht="15" hidden="false" customHeight="false" outlineLevel="0" collapsed="false">
      <c r="A21" s="22" t="n">
        <v>46007</v>
      </c>
      <c r="B21" s="23" t="s">
        <v>48</v>
      </c>
      <c r="C21" s="24"/>
      <c r="D21" s="25"/>
      <c r="E21" s="10" t="n">
        <f aca="false">IF(WEEKDAY(A21,2)&lt;=5,Übersicht!$B$4,0)</f>
        <v>8</v>
      </c>
      <c r="F21" s="10" t="str">
        <f aca="false">IF(OR(C21="U",C21="K",C21="F",C21="G"),IF(D21="",0,D21),IF(D21="","",D21-E21))</f>
        <v/>
      </c>
      <c r="G21" s="26"/>
    </row>
    <row r="22" customFormat="false" ht="15" hidden="false" customHeight="false" outlineLevel="0" collapsed="false">
      <c r="A22" s="22" t="n">
        <v>46008</v>
      </c>
      <c r="B22" s="23" t="s">
        <v>49</v>
      </c>
      <c r="C22" s="24"/>
      <c r="D22" s="25"/>
      <c r="E22" s="10" t="n">
        <f aca="false">IF(WEEKDAY(A22,2)&lt;=5,Übersicht!$B$4,0)</f>
        <v>8</v>
      </c>
      <c r="F22" s="10" t="str">
        <f aca="false">IF(OR(C22="U",C22="K",C22="F",C22="G"),IF(D22="",0,D22),IF(D22="","",D22-E22))</f>
        <v/>
      </c>
      <c r="G22" s="26"/>
    </row>
    <row r="23" customFormat="false" ht="15" hidden="false" customHeight="false" outlineLevel="0" collapsed="false">
      <c r="A23" s="22" t="n">
        <v>46009</v>
      </c>
      <c r="B23" s="23" t="s">
        <v>50</v>
      </c>
      <c r="C23" s="24"/>
      <c r="D23" s="25"/>
      <c r="E23" s="10" t="n">
        <f aca="false">IF(WEEKDAY(A23,2)&lt;=5,Übersicht!$B$4,0)</f>
        <v>8</v>
      </c>
      <c r="F23" s="10" t="str">
        <f aca="false">IF(OR(C23="U",C23="K",C23="F",C23="G"),IF(D23="",0,D23),IF(D23="","",D23-E23))</f>
        <v/>
      </c>
      <c r="G23" s="26"/>
    </row>
    <row r="24" customFormat="false" ht="15" hidden="false" customHeight="false" outlineLevel="0" collapsed="false">
      <c r="A24" s="22" t="n">
        <v>46010</v>
      </c>
      <c r="B24" s="23" t="s">
        <v>51</v>
      </c>
      <c r="C24" s="24"/>
      <c r="D24" s="25"/>
      <c r="E24" s="10" t="n">
        <f aca="false">IF(WEEKDAY(A24,2)&lt;=5,Übersicht!$B$4,0)</f>
        <v>8</v>
      </c>
      <c r="F24" s="10" t="str">
        <f aca="false">IF(OR(C24="U",C24="K",C24="F",C24="G"),IF(D24="",0,D24),IF(D24="","",D24-E24))</f>
        <v/>
      </c>
      <c r="G24" s="26"/>
    </row>
    <row r="25" customFormat="false" ht="15" hidden="false" customHeight="false" outlineLevel="0" collapsed="false">
      <c r="A25" s="16" t="n">
        <v>46011</v>
      </c>
      <c r="B25" s="17" t="s">
        <v>45</v>
      </c>
      <c r="C25" s="18"/>
      <c r="D25" s="19"/>
      <c r="E25" s="20" t="n">
        <f aca="false">IF(WEEKDAY(A25,2)&lt;=5,Übersicht!$B$4,0)</f>
        <v>0</v>
      </c>
      <c r="F25" s="20" t="str">
        <f aca="false">IF(OR(C25="U",C25="K",C25="F",C25="G"),IF(D25="",0,D25),IF(D25="","",D25-E25))</f>
        <v/>
      </c>
      <c r="G25" s="21"/>
    </row>
    <row r="26" customFormat="false" ht="15" hidden="false" customHeight="false" outlineLevel="0" collapsed="false">
      <c r="A26" s="16" t="n">
        <v>46012</v>
      </c>
      <c r="B26" s="17" t="s">
        <v>46</v>
      </c>
      <c r="C26" s="18"/>
      <c r="D26" s="19"/>
      <c r="E26" s="20" t="n">
        <f aca="false">IF(WEEKDAY(A26,2)&lt;=5,Übersicht!$B$4,0)</f>
        <v>0</v>
      </c>
      <c r="F26" s="20" t="str">
        <f aca="false">IF(OR(C26="U",C26="K",C26="F",C26="G"),IF(D26="",0,D26),IF(D26="","",D26-E26))</f>
        <v/>
      </c>
      <c r="G26" s="21"/>
    </row>
    <row r="27" customFormat="false" ht="15" hidden="false" customHeight="false" outlineLevel="0" collapsed="false">
      <c r="A27" s="22" t="n">
        <v>46013</v>
      </c>
      <c r="B27" s="23" t="s">
        <v>47</v>
      </c>
      <c r="C27" s="24"/>
      <c r="D27" s="25"/>
      <c r="E27" s="10" t="n">
        <f aca="false">IF(WEEKDAY(A27,2)&lt;=5,Übersicht!$B$4,0)</f>
        <v>8</v>
      </c>
      <c r="F27" s="10" t="str">
        <f aca="false">IF(OR(C27="U",C27="K",C27="F",C27="G"),IF(D27="",0,D27),IF(D27="","",D27-E27))</f>
        <v/>
      </c>
      <c r="G27" s="26"/>
    </row>
    <row r="28" customFormat="false" ht="15" hidden="false" customHeight="false" outlineLevel="0" collapsed="false">
      <c r="A28" s="22" t="n">
        <v>46014</v>
      </c>
      <c r="B28" s="23" t="s">
        <v>48</v>
      </c>
      <c r="C28" s="24"/>
      <c r="D28" s="25"/>
      <c r="E28" s="10" t="n">
        <f aca="false">IF(WEEKDAY(A28,2)&lt;=5,Übersicht!$B$4,0)</f>
        <v>8</v>
      </c>
      <c r="F28" s="10" t="str">
        <f aca="false">IF(OR(C28="U",C28="K",C28="F",C28="G"),IF(D28="",0,D28),IF(D28="","",D28-E28))</f>
        <v/>
      </c>
      <c r="G28" s="26"/>
    </row>
    <row r="29" customFormat="false" ht="15" hidden="false" customHeight="false" outlineLevel="0" collapsed="false">
      <c r="A29" s="22" t="n">
        <v>46015</v>
      </c>
      <c r="B29" s="23" t="s">
        <v>49</v>
      </c>
      <c r="C29" s="24"/>
      <c r="D29" s="25"/>
      <c r="E29" s="10" t="n">
        <f aca="false">IF(WEEKDAY(A29,2)&lt;=5,Übersicht!$B$4,0)</f>
        <v>8</v>
      </c>
      <c r="F29" s="10" t="str">
        <f aca="false">IF(OR(C29="U",C29="K",C29="F",C29="G"),IF(D29="",0,D29),IF(D29="","",D29-E29))</f>
        <v/>
      </c>
      <c r="G29" s="26"/>
    </row>
    <row r="30" customFormat="false" ht="15" hidden="false" customHeight="false" outlineLevel="0" collapsed="false">
      <c r="A30" s="22" t="n">
        <v>46016</v>
      </c>
      <c r="B30" s="23" t="s">
        <v>50</v>
      </c>
      <c r="C30" s="24" t="s">
        <v>56</v>
      </c>
      <c r="D30" s="25"/>
      <c r="E30" s="10" t="n">
        <f aca="false">IF(WEEKDAY(A30,2)&lt;=5,Übersicht!$B$4,0)</f>
        <v>8</v>
      </c>
      <c r="F30" s="10" t="n">
        <f aca="false">IF(OR(C30="U",C30="K",C30="F",C30="G"),IF(D30="",0,D30),IF(D30="","",D30-E30))</f>
        <v>0</v>
      </c>
      <c r="G30" s="26" t="s">
        <v>73</v>
      </c>
    </row>
    <row r="31" customFormat="false" ht="15" hidden="false" customHeight="false" outlineLevel="0" collapsed="false">
      <c r="A31" s="22" t="n">
        <v>46017</v>
      </c>
      <c r="B31" s="23" t="s">
        <v>51</v>
      </c>
      <c r="C31" s="24" t="s">
        <v>56</v>
      </c>
      <c r="D31" s="25"/>
      <c r="E31" s="10" t="n">
        <f aca="false">IF(WEEKDAY(A31,2)&lt;=5,Übersicht!$B$4,0)</f>
        <v>8</v>
      </c>
      <c r="F31" s="10" t="n">
        <f aca="false">IF(OR(C31="U",C31="K",C31="F",C31="G"),IF(D31="",0,D31),IF(D31="","",D31-E31))</f>
        <v>0</v>
      </c>
      <c r="G31" s="26" t="s">
        <v>74</v>
      </c>
    </row>
    <row r="32" customFormat="false" ht="15" hidden="false" customHeight="false" outlineLevel="0" collapsed="false">
      <c r="A32" s="16" t="n">
        <v>46018</v>
      </c>
      <c r="B32" s="17" t="s">
        <v>45</v>
      </c>
      <c r="C32" s="18"/>
      <c r="D32" s="19"/>
      <c r="E32" s="20" t="n">
        <f aca="false">IF(WEEKDAY(A32,2)&lt;=5,Übersicht!$B$4,0)</f>
        <v>0</v>
      </c>
      <c r="F32" s="20" t="str">
        <f aca="false">IF(OR(C32="U",C32="K",C32="F",C32="G"),IF(D32="",0,D32),IF(D32="","",D32-E32))</f>
        <v/>
      </c>
      <c r="G32" s="21"/>
    </row>
    <row r="33" customFormat="false" ht="15" hidden="false" customHeight="false" outlineLevel="0" collapsed="false">
      <c r="A33" s="16" t="n">
        <v>46019</v>
      </c>
      <c r="B33" s="17" t="s">
        <v>46</v>
      </c>
      <c r="C33" s="18"/>
      <c r="D33" s="19"/>
      <c r="E33" s="20" t="n">
        <f aca="false">IF(WEEKDAY(A33,2)&lt;=5,Übersicht!$B$4,0)</f>
        <v>0</v>
      </c>
      <c r="F33" s="20" t="str">
        <f aca="false">IF(OR(C33="U",C33="K",C33="F",C33="G"),IF(D33="",0,D33),IF(D33="","",D33-E33))</f>
        <v/>
      </c>
      <c r="G33" s="21"/>
    </row>
    <row r="34" customFormat="false" ht="15" hidden="false" customHeight="false" outlineLevel="0" collapsed="false">
      <c r="A34" s="22" t="n">
        <v>46020</v>
      </c>
      <c r="B34" s="23" t="s">
        <v>47</v>
      </c>
      <c r="C34" s="24"/>
      <c r="D34" s="25"/>
      <c r="E34" s="10" t="n">
        <f aca="false">IF(WEEKDAY(A34,2)&lt;=5,Übersicht!$B$4,0)</f>
        <v>8</v>
      </c>
      <c r="F34" s="10" t="str">
        <f aca="false">IF(OR(C34="U",C34="K",C34="F",C34="G"),IF(D34="",0,D34),IF(D34="","",D34-E34))</f>
        <v/>
      </c>
      <c r="G34" s="26"/>
    </row>
    <row r="35" customFormat="false" ht="15" hidden="false" customHeight="false" outlineLevel="0" collapsed="false">
      <c r="A35" s="22" t="n">
        <v>46021</v>
      </c>
      <c r="B35" s="23" t="s">
        <v>48</v>
      </c>
      <c r="C35" s="24"/>
      <c r="D35" s="25"/>
      <c r="E35" s="10" t="n">
        <f aca="false">IF(WEEKDAY(A35,2)&lt;=5,Übersicht!$B$4,0)</f>
        <v>8</v>
      </c>
      <c r="F35" s="10" t="str">
        <f aca="false">IF(OR(C35="U",C35="K",C35="F",C35="G"),IF(D35="",0,D35),IF(D35="","",D35-E35))</f>
        <v/>
      </c>
      <c r="G35" s="26"/>
    </row>
    <row r="36" customFormat="false" ht="15" hidden="false" customHeight="false" outlineLevel="0" collapsed="false">
      <c r="A36" s="22" t="n">
        <v>46022</v>
      </c>
      <c r="B36" s="23" t="s">
        <v>49</v>
      </c>
      <c r="C36" s="24"/>
      <c r="D36" s="25"/>
      <c r="E36" s="10" t="n">
        <f aca="false">IF(WEEKDAY(A36,2)&lt;=5,Übersicht!$B$4,0)</f>
        <v>8</v>
      </c>
      <c r="F36" s="10" t="str">
        <f aca="false">IF(OR(C36="U",C36="K",C36="F",C36="G"),IF(D36="",0,D36),IF(D36="","",D36-E36))</f>
        <v/>
      </c>
      <c r="G36" s="26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16</v>
      </c>
      <c r="E38" s="12" t="n">
        <f aca="false">SUM(E6:E36)</f>
        <v>184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23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Übersicht!F26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6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3" activeCellId="0" sqref="B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75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22" t="n">
        <v>46023</v>
      </c>
      <c r="B6" s="23" t="s">
        <v>50</v>
      </c>
      <c r="C6" s="24" t="s">
        <v>56</v>
      </c>
      <c r="D6" s="25"/>
      <c r="E6" s="10" t="n">
        <f aca="false">IF(WEEKDAY(A6,2)&lt;=5,Übersicht!$B$4,0)</f>
        <v>8</v>
      </c>
      <c r="F6" s="10" t="n">
        <f aca="false">IF(OR(C6="U",C6="K",C6="F",C6="G"),IF(D6="",0,D6),IF(D6="","",D6-E6))</f>
        <v>0</v>
      </c>
      <c r="G6" s="26" t="s">
        <v>76</v>
      </c>
    </row>
    <row r="7" customFormat="false" ht="15" hidden="false" customHeight="false" outlineLevel="0" collapsed="false">
      <c r="A7" s="22" t="n">
        <v>46024</v>
      </c>
      <c r="B7" s="23" t="s">
        <v>51</v>
      </c>
      <c r="C7" s="24"/>
      <c r="D7" s="25"/>
      <c r="E7" s="10" t="n">
        <f aca="false">IF(WEEKDAY(A7,2)&lt;=5,Übersicht!$B$4,0)</f>
        <v>8</v>
      </c>
      <c r="F7" s="10" t="str">
        <f aca="false">IF(OR(C7="U",C7="K",C7="F",C7="G"),IF(D7="",0,D7),IF(D7="","",D7-E7))</f>
        <v/>
      </c>
      <c r="G7" s="26"/>
    </row>
    <row r="8" customFormat="false" ht="15" hidden="false" customHeight="false" outlineLevel="0" collapsed="false">
      <c r="A8" s="16" t="n">
        <v>46025</v>
      </c>
      <c r="B8" s="17" t="s">
        <v>45</v>
      </c>
      <c r="C8" s="18"/>
      <c r="D8" s="19"/>
      <c r="E8" s="20" t="n">
        <f aca="false">IF(WEEKDAY(A8,2)&lt;=5,Übersicht!$B$4,0)</f>
        <v>0</v>
      </c>
      <c r="F8" s="20" t="str">
        <f aca="false">IF(OR(C8="U",C8="K",C8="F",C8="G"),IF(D8="",0,D8),IF(D8="","",D8-E8))</f>
        <v/>
      </c>
      <c r="G8" s="21"/>
    </row>
    <row r="9" customFormat="false" ht="15" hidden="false" customHeight="false" outlineLevel="0" collapsed="false">
      <c r="A9" s="16" t="n">
        <v>46026</v>
      </c>
      <c r="B9" s="17" t="s">
        <v>46</v>
      </c>
      <c r="C9" s="18"/>
      <c r="D9" s="19"/>
      <c r="E9" s="20" t="n">
        <f aca="false">IF(WEEKDAY(A9,2)&lt;=5,Übersicht!$B$4,0)</f>
        <v>0</v>
      </c>
      <c r="F9" s="20" t="str">
        <f aca="false">IF(OR(C9="U",C9="K",C9="F",C9="G"),IF(D9="",0,D9),IF(D9="","",D9-E9))</f>
        <v/>
      </c>
      <c r="G9" s="21"/>
    </row>
    <row r="10" customFormat="false" ht="15" hidden="false" customHeight="false" outlineLevel="0" collapsed="false">
      <c r="A10" s="22" t="n">
        <v>46027</v>
      </c>
      <c r="B10" s="23" t="s">
        <v>47</v>
      </c>
      <c r="C10" s="24"/>
      <c r="D10" s="25"/>
      <c r="E10" s="10" t="n">
        <f aca="false">IF(WEEKDAY(A10,2)&lt;=5,Übersicht!$B$4,0)</f>
        <v>8</v>
      </c>
      <c r="F10" s="10" t="str">
        <f aca="false">IF(OR(C10="U",C10="K",C10="F",C10="G"),IF(D10="",0,D10),IF(D10="","",D10-E10))</f>
        <v/>
      </c>
      <c r="G10" s="26"/>
    </row>
    <row r="11" customFormat="false" ht="15" hidden="false" customHeight="false" outlineLevel="0" collapsed="false">
      <c r="A11" s="22" t="n">
        <v>46028</v>
      </c>
      <c r="B11" s="23" t="s">
        <v>48</v>
      </c>
      <c r="C11" s="24" t="s">
        <v>56</v>
      </c>
      <c r="D11" s="25"/>
      <c r="E11" s="10" t="n">
        <f aca="false">IF(WEEKDAY(A11,2)&lt;=5,Übersicht!$B$4,0)</f>
        <v>8</v>
      </c>
      <c r="F11" s="10" t="n">
        <f aca="false">IF(OR(C11="U",C11="K",C11="F",C11="G"),IF(D11="",0,D11),IF(D11="","",D11-E11))</f>
        <v>0</v>
      </c>
      <c r="G11" s="26" t="s">
        <v>77</v>
      </c>
    </row>
    <row r="12" customFormat="false" ht="15" hidden="false" customHeight="false" outlineLevel="0" collapsed="false">
      <c r="A12" s="22" t="n">
        <v>46029</v>
      </c>
      <c r="B12" s="23" t="s">
        <v>49</v>
      </c>
      <c r="C12" s="24"/>
      <c r="D12" s="25"/>
      <c r="E12" s="10" t="n">
        <f aca="false">IF(WEEKDAY(A12,2)&lt;=5,Übersicht!$B$4,0)</f>
        <v>8</v>
      </c>
      <c r="F12" s="10" t="str">
        <f aca="false">IF(OR(C12="U",C12="K",C12="F",C12="G"),IF(D12="",0,D12),IF(D12="","",D12-E12))</f>
        <v/>
      </c>
      <c r="G12" s="26"/>
    </row>
    <row r="13" customFormat="false" ht="15" hidden="false" customHeight="false" outlineLevel="0" collapsed="false">
      <c r="A13" s="22" t="n">
        <v>46030</v>
      </c>
      <c r="B13" s="23" t="s">
        <v>50</v>
      </c>
      <c r="C13" s="24"/>
      <c r="D13" s="25"/>
      <c r="E13" s="10" t="n">
        <f aca="false">IF(WEEKDAY(A13,2)&lt;=5,Übersicht!$B$4,0)</f>
        <v>8</v>
      </c>
      <c r="F13" s="10" t="str">
        <f aca="false">IF(OR(C13="U",C13="K",C13="F",C13="G"),IF(D13="",0,D13),IF(D13="","",D13-E13))</f>
        <v/>
      </c>
      <c r="G13" s="26"/>
    </row>
    <row r="14" customFormat="false" ht="15" hidden="false" customHeight="false" outlineLevel="0" collapsed="false">
      <c r="A14" s="22" t="n">
        <v>46031</v>
      </c>
      <c r="B14" s="23" t="s">
        <v>51</v>
      </c>
      <c r="C14" s="24"/>
      <c r="D14" s="25"/>
      <c r="E14" s="10" t="n">
        <f aca="false">IF(WEEKDAY(A14,2)&lt;=5,Übersicht!$B$4,0)</f>
        <v>8</v>
      </c>
      <c r="F14" s="10" t="str">
        <f aca="false">IF(OR(C14="U",C14="K",C14="F",C14="G"),IF(D14="",0,D14),IF(D14="","",D14-E14))</f>
        <v/>
      </c>
      <c r="G14" s="26"/>
    </row>
    <row r="15" customFormat="false" ht="15" hidden="false" customHeight="false" outlineLevel="0" collapsed="false">
      <c r="A15" s="16" t="n">
        <v>46032</v>
      </c>
      <c r="B15" s="17" t="s">
        <v>45</v>
      </c>
      <c r="C15" s="18"/>
      <c r="D15" s="19"/>
      <c r="E15" s="20" t="n">
        <f aca="false">IF(WEEKDAY(A15,2)&lt;=5,Übersicht!$B$4,0)</f>
        <v>0</v>
      </c>
      <c r="F15" s="20" t="str">
        <f aca="false">IF(OR(C15="U",C15="K",C15="F",C15="G"),IF(D15="",0,D15),IF(D15="","",D15-E15))</f>
        <v/>
      </c>
      <c r="G15" s="21"/>
    </row>
    <row r="16" customFormat="false" ht="15" hidden="false" customHeight="false" outlineLevel="0" collapsed="false">
      <c r="A16" s="16" t="n">
        <v>46033</v>
      </c>
      <c r="B16" s="17" t="s">
        <v>46</v>
      </c>
      <c r="C16" s="18"/>
      <c r="D16" s="19"/>
      <c r="E16" s="20" t="n">
        <f aca="false">IF(WEEKDAY(A16,2)&lt;=5,Übersicht!$B$4,0)</f>
        <v>0</v>
      </c>
      <c r="F16" s="20" t="str">
        <f aca="false">IF(OR(C16="U",C16="K",C16="F",C16="G"),IF(D16="",0,D16),IF(D16="","",D16-E16))</f>
        <v/>
      </c>
      <c r="G16" s="21"/>
    </row>
    <row r="17" customFormat="false" ht="15" hidden="false" customHeight="false" outlineLevel="0" collapsed="false">
      <c r="A17" s="22" t="n">
        <v>46034</v>
      </c>
      <c r="B17" s="23" t="s">
        <v>47</v>
      </c>
      <c r="C17" s="24"/>
      <c r="D17" s="25"/>
      <c r="E17" s="10" t="n">
        <f aca="false">IF(WEEKDAY(A17,2)&lt;=5,Übersicht!$B$4,0)</f>
        <v>8</v>
      </c>
      <c r="F17" s="10" t="str">
        <f aca="false">IF(OR(C17="U",C17="K",C17="F",C17="G"),IF(D17="",0,D17),IF(D17="","",D17-E17))</f>
        <v/>
      </c>
      <c r="G17" s="26"/>
    </row>
    <row r="18" customFormat="false" ht="15" hidden="false" customHeight="false" outlineLevel="0" collapsed="false">
      <c r="A18" s="22" t="n">
        <v>46035</v>
      </c>
      <c r="B18" s="23" t="s">
        <v>48</v>
      </c>
      <c r="C18" s="24"/>
      <c r="D18" s="25"/>
      <c r="E18" s="10" t="n">
        <f aca="false">IF(WEEKDAY(A18,2)&lt;=5,Übersicht!$B$4,0)</f>
        <v>8</v>
      </c>
      <c r="F18" s="10" t="str">
        <f aca="false">IF(OR(C18="U",C18="K",C18="F",C18="G"),IF(D18="",0,D18),IF(D18="","",D18-E18))</f>
        <v/>
      </c>
      <c r="G18" s="26"/>
    </row>
    <row r="19" customFormat="false" ht="15" hidden="false" customHeight="false" outlineLevel="0" collapsed="false">
      <c r="A19" s="22" t="n">
        <v>46036</v>
      </c>
      <c r="B19" s="23" t="s">
        <v>49</v>
      </c>
      <c r="C19" s="24"/>
      <c r="D19" s="25"/>
      <c r="E19" s="10" t="n">
        <f aca="false">IF(WEEKDAY(A19,2)&lt;=5,Übersicht!$B$4,0)</f>
        <v>8</v>
      </c>
      <c r="F19" s="10" t="str">
        <f aca="false">IF(OR(C19="U",C19="K",C19="F",C19="G"),IF(D19="",0,D19),IF(D19="","",D19-E19))</f>
        <v/>
      </c>
      <c r="G19" s="26"/>
    </row>
    <row r="20" customFormat="false" ht="15" hidden="false" customHeight="false" outlineLevel="0" collapsed="false">
      <c r="A20" s="22" t="n">
        <v>46037</v>
      </c>
      <c r="B20" s="23" t="s">
        <v>50</v>
      </c>
      <c r="C20" s="24"/>
      <c r="D20" s="25"/>
      <c r="E20" s="10" t="n">
        <f aca="false">IF(WEEKDAY(A20,2)&lt;=5,Übersicht!$B$4,0)</f>
        <v>8</v>
      </c>
      <c r="F20" s="10" t="str">
        <f aca="false">IF(OR(C20="U",C20="K",C20="F",C20="G"),IF(D20="",0,D20),IF(D20="","",D20-E20))</f>
        <v/>
      </c>
      <c r="G20" s="26"/>
    </row>
    <row r="21" customFormat="false" ht="15" hidden="false" customHeight="false" outlineLevel="0" collapsed="false">
      <c r="A21" s="22" t="n">
        <v>46038</v>
      </c>
      <c r="B21" s="23" t="s">
        <v>51</v>
      </c>
      <c r="C21" s="24"/>
      <c r="D21" s="25"/>
      <c r="E21" s="10" t="n">
        <f aca="false">IF(WEEKDAY(A21,2)&lt;=5,Übersicht!$B$4,0)</f>
        <v>8</v>
      </c>
      <c r="F21" s="10" t="str">
        <f aca="false">IF(OR(C21="U",C21="K",C21="F",C21="G"),IF(D21="",0,D21),IF(D21="","",D21-E21))</f>
        <v/>
      </c>
      <c r="G21" s="26"/>
    </row>
    <row r="22" customFormat="false" ht="15" hidden="false" customHeight="false" outlineLevel="0" collapsed="false">
      <c r="A22" s="16" t="n">
        <v>46039</v>
      </c>
      <c r="B22" s="17" t="s">
        <v>45</v>
      </c>
      <c r="C22" s="18"/>
      <c r="D22" s="19"/>
      <c r="E22" s="20" t="n">
        <f aca="false">IF(WEEKDAY(A22,2)&lt;=5,Übersicht!$B$4,0)</f>
        <v>0</v>
      </c>
      <c r="F22" s="20" t="str">
        <f aca="false">IF(OR(C22="U",C22="K",C22="F",C22="G"),IF(D22="",0,D22),IF(D22="","",D22-E22))</f>
        <v/>
      </c>
      <c r="G22" s="21"/>
    </row>
    <row r="23" customFormat="false" ht="15" hidden="false" customHeight="false" outlineLevel="0" collapsed="false">
      <c r="A23" s="16" t="n">
        <v>46040</v>
      </c>
      <c r="B23" s="17" t="s">
        <v>46</v>
      </c>
      <c r="C23" s="18"/>
      <c r="D23" s="19"/>
      <c r="E23" s="20" t="n">
        <f aca="false">IF(WEEKDAY(A23,2)&lt;=5,Übersicht!$B$4,0)</f>
        <v>0</v>
      </c>
      <c r="F23" s="20" t="str">
        <f aca="false">IF(OR(C23="U",C23="K",C23="F",C23="G"),IF(D23="",0,D23),IF(D23="","",D23-E23))</f>
        <v/>
      </c>
      <c r="G23" s="21"/>
    </row>
    <row r="24" customFormat="false" ht="15" hidden="false" customHeight="false" outlineLevel="0" collapsed="false">
      <c r="A24" s="22" t="n">
        <v>46041</v>
      </c>
      <c r="B24" s="23" t="s">
        <v>47</v>
      </c>
      <c r="C24" s="24"/>
      <c r="D24" s="25"/>
      <c r="E24" s="10" t="n">
        <f aca="false">IF(WEEKDAY(A24,2)&lt;=5,Übersicht!$B$4,0)</f>
        <v>8</v>
      </c>
      <c r="F24" s="10" t="str">
        <f aca="false">IF(OR(C24="U",C24="K",C24="F",C24="G"),IF(D24="",0,D24),IF(D24="","",D24-E24))</f>
        <v/>
      </c>
      <c r="G24" s="26"/>
    </row>
    <row r="25" customFormat="false" ht="15" hidden="false" customHeight="false" outlineLevel="0" collapsed="false">
      <c r="A25" s="22" t="n">
        <v>46042</v>
      </c>
      <c r="B25" s="23" t="s">
        <v>48</v>
      </c>
      <c r="C25" s="24"/>
      <c r="D25" s="25"/>
      <c r="E25" s="10" t="n">
        <f aca="false">IF(WEEKDAY(A25,2)&lt;=5,Übersicht!$B$4,0)</f>
        <v>8</v>
      </c>
      <c r="F25" s="10" t="str">
        <f aca="false">IF(OR(C25="U",C25="K",C25="F",C25="G"),IF(D25="",0,D25),IF(D25="","",D25-E25))</f>
        <v/>
      </c>
      <c r="G25" s="26"/>
    </row>
    <row r="26" customFormat="false" ht="15" hidden="false" customHeight="false" outlineLevel="0" collapsed="false">
      <c r="A26" s="22" t="n">
        <v>46043</v>
      </c>
      <c r="B26" s="23" t="s">
        <v>49</v>
      </c>
      <c r="C26" s="24"/>
      <c r="D26" s="25"/>
      <c r="E26" s="10" t="n">
        <f aca="false">IF(WEEKDAY(A26,2)&lt;=5,Übersicht!$B$4,0)</f>
        <v>8</v>
      </c>
      <c r="F26" s="10" t="str">
        <f aca="false">IF(OR(C26="U",C26="K",C26="F",C26="G"),IF(D26="",0,D26),IF(D26="","",D26-E26))</f>
        <v/>
      </c>
      <c r="G26" s="26"/>
    </row>
    <row r="27" customFormat="false" ht="15" hidden="false" customHeight="false" outlineLevel="0" collapsed="false">
      <c r="A27" s="22" t="n">
        <v>46044</v>
      </c>
      <c r="B27" s="23" t="s">
        <v>50</v>
      </c>
      <c r="C27" s="24"/>
      <c r="D27" s="25"/>
      <c r="E27" s="10" t="n">
        <f aca="false">IF(WEEKDAY(A27,2)&lt;=5,Übersicht!$B$4,0)</f>
        <v>8</v>
      </c>
      <c r="F27" s="10" t="str">
        <f aca="false">IF(OR(C27="U",C27="K",C27="F",C27="G"),IF(D27="",0,D27),IF(D27="","",D27-E27))</f>
        <v/>
      </c>
      <c r="G27" s="26"/>
    </row>
    <row r="28" customFormat="false" ht="15" hidden="false" customHeight="false" outlineLevel="0" collapsed="false">
      <c r="A28" s="22" t="n">
        <v>46045</v>
      </c>
      <c r="B28" s="23" t="s">
        <v>51</v>
      </c>
      <c r="C28" s="24"/>
      <c r="D28" s="25"/>
      <c r="E28" s="10" t="n">
        <f aca="false">IF(WEEKDAY(A28,2)&lt;=5,Übersicht!$B$4,0)</f>
        <v>8</v>
      </c>
      <c r="F28" s="10" t="str">
        <f aca="false">IF(OR(C28="U",C28="K",C28="F",C28="G"),IF(D28="",0,D28),IF(D28="","",D28-E28))</f>
        <v/>
      </c>
      <c r="G28" s="26"/>
    </row>
    <row r="29" customFormat="false" ht="15" hidden="false" customHeight="false" outlineLevel="0" collapsed="false">
      <c r="A29" s="16" t="n">
        <v>46046</v>
      </c>
      <c r="B29" s="17" t="s">
        <v>45</v>
      </c>
      <c r="C29" s="18"/>
      <c r="D29" s="19"/>
      <c r="E29" s="20" t="n">
        <f aca="false">IF(WEEKDAY(A29,2)&lt;=5,Übersicht!$B$4,0)</f>
        <v>0</v>
      </c>
      <c r="F29" s="20" t="str">
        <f aca="false">IF(OR(C29="U",C29="K",C29="F",C29="G"),IF(D29="",0,D29),IF(D29="","",D29-E29))</f>
        <v/>
      </c>
      <c r="G29" s="21"/>
    </row>
    <row r="30" customFormat="false" ht="15" hidden="false" customHeight="false" outlineLevel="0" collapsed="false">
      <c r="A30" s="16" t="n">
        <v>46047</v>
      </c>
      <c r="B30" s="17" t="s">
        <v>46</v>
      </c>
      <c r="C30" s="18"/>
      <c r="D30" s="19"/>
      <c r="E30" s="20" t="n">
        <f aca="false">IF(WEEKDAY(A30,2)&lt;=5,Übersicht!$B$4,0)</f>
        <v>0</v>
      </c>
      <c r="F30" s="20" t="str">
        <f aca="false">IF(OR(C30="U",C30="K",C30="F",C30="G"),IF(D30="",0,D30),IF(D30="","",D30-E30))</f>
        <v/>
      </c>
      <c r="G30" s="21"/>
    </row>
    <row r="31" customFormat="false" ht="15" hidden="false" customHeight="false" outlineLevel="0" collapsed="false">
      <c r="A31" s="22" t="n">
        <v>46048</v>
      </c>
      <c r="B31" s="23" t="s">
        <v>47</v>
      </c>
      <c r="C31" s="24"/>
      <c r="D31" s="25"/>
      <c r="E31" s="10" t="n">
        <f aca="false">IF(WEEKDAY(A31,2)&lt;=5,Übersicht!$B$4,0)</f>
        <v>8</v>
      </c>
      <c r="F31" s="10" t="str">
        <f aca="false">IF(OR(C31="U",C31="K",C31="F",C31="G"),IF(D31="",0,D31),IF(D31="","",D31-E31))</f>
        <v/>
      </c>
      <c r="G31" s="26"/>
    </row>
    <row r="32" customFormat="false" ht="15" hidden="false" customHeight="false" outlineLevel="0" collapsed="false">
      <c r="A32" s="22" t="n">
        <v>46049</v>
      </c>
      <c r="B32" s="23" t="s">
        <v>48</v>
      </c>
      <c r="C32" s="24"/>
      <c r="D32" s="25"/>
      <c r="E32" s="10" t="n">
        <f aca="false">IF(WEEKDAY(A32,2)&lt;=5,Übersicht!$B$4,0)</f>
        <v>8</v>
      </c>
      <c r="F32" s="10" t="str">
        <f aca="false">IF(OR(C32="U",C32="K",C32="F",C32="G"),IF(D32="",0,D32),IF(D32="","",D32-E32))</f>
        <v/>
      </c>
      <c r="G32" s="26"/>
    </row>
    <row r="33" customFormat="false" ht="15" hidden="false" customHeight="false" outlineLevel="0" collapsed="false">
      <c r="A33" s="22" t="n">
        <v>46050</v>
      </c>
      <c r="B33" s="23" t="s">
        <v>49</v>
      </c>
      <c r="C33" s="24"/>
      <c r="D33" s="25"/>
      <c r="E33" s="10" t="n">
        <f aca="false">IF(WEEKDAY(A33,2)&lt;=5,Übersicht!$B$4,0)</f>
        <v>8</v>
      </c>
      <c r="F33" s="10" t="str">
        <f aca="false">IF(OR(C33="U",C33="K",C33="F",C33="G"),IF(D33="",0,D33),IF(D33="","",D33-E33))</f>
        <v/>
      </c>
      <c r="G33" s="26"/>
    </row>
    <row r="34" customFormat="false" ht="15" hidden="false" customHeight="false" outlineLevel="0" collapsed="false">
      <c r="A34" s="22" t="n">
        <v>46051</v>
      </c>
      <c r="B34" s="23" t="s">
        <v>50</v>
      </c>
      <c r="C34" s="24"/>
      <c r="D34" s="25"/>
      <c r="E34" s="10" t="n">
        <f aca="false">IF(WEEKDAY(A34,2)&lt;=5,Übersicht!$B$4,0)</f>
        <v>8</v>
      </c>
      <c r="F34" s="10" t="str">
        <f aca="false">IF(OR(C34="U",C34="K",C34="F",C34="G"),IF(D34="",0,D34),IF(D34="","",D34-E34))</f>
        <v/>
      </c>
      <c r="G34" s="26"/>
    </row>
    <row r="35" customFormat="false" ht="15" hidden="false" customHeight="false" outlineLevel="0" collapsed="false">
      <c r="A35" s="22" t="n">
        <v>46052</v>
      </c>
      <c r="B35" s="23" t="s">
        <v>51</v>
      </c>
      <c r="C35" s="24"/>
      <c r="D35" s="25"/>
      <c r="E35" s="10" t="n">
        <f aca="false">IF(WEEKDAY(A35,2)&lt;=5,Übersicht!$B$4,0)</f>
        <v>8</v>
      </c>
      <c r="F35" s="10" t="str">
        <f aca="false">IF(OR(C35="U",C35="K",C35="F",C35="G"),IF(D35="",0,D35),IF(D35="","",D35-E35))</f>
        <v/>
      </c>
      <c r="G35" s="26"/>
    </row>
    <row r="36" customFormat="false" ht="15" hidden="false" customHeight="false" outlineLevel="0" collapsed="false">
      <c r="A36" s="16" t="n">
        <v>46053</v>
      </c>
      <c r="B36" s="17" t="s">
        <v>45</v>
      </c>
      <c r="C36" s="18"/>
      <c r="D36" s="19"/>
      <c r="E36" s="20" t="n">
        <f aca="false">IF(WEEKDAY(A36,2)&lt;=5,Übersicht!$B$4,0)</f>
        <v>0</v>
      </c>
      <c r="F36" s="20" t="str">
        <f aca="false">IF(OR(C36="U",C36="K",C36="F",C36="G"),IF(D36="",0,D36),IF(D36="","",D36-E36))</f>
        <v/>
      </c>
      <c r="G36" s="21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16</v>
      </c>
      <c r="E38" s="12" t="n">
        <f aca="false">SUM(E6:E36)</f>
        <v>176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22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Übersicht!F27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6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G7" activeCellId="0" sqref="G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78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16" t="n">
        <v>46054</v>
      </c>
      <c r="B6" s="17" t="s">
        <v>46</v>
      </c>
      <c r="C6" s="18"/>
      <c r="D6" s="19"/>
      <c r="E6" s="20" t="n">
        <f aca="false">IF(WEEKDAY(A6,2)&lt;=5,Übersicht!$B$4,0)</f>
        <v>0</v>
      </c>
      <c r="F6" s="20" t="str">
        <f aca="false">IF(OR(C6="U",C6="K",C6="F",C6="G"),IF(D6="",0,D6),IF(D6="","",D6-E6))</f>
        <v/>
      </c>
      <c r="G6" s="21"/>
    </row>
    <row r="7" customFormat="false" ht="15" hidden="false" customHeight="false" outlineLevel="0" collapsed="false">
      <c r="A7" s="22" t="n">
        <v>46055</v>
      </c>
      <c r="B7" s="23" t="s">
        <v>47</v>
      </c>
      <c r="C7" s="24"/>
      <c r="D7" s="25"/>
      <c r="E7" s="10" t="n">
        <f aca="false">IF(WEEKDAY(A7,2)&lt;=5,Übersicht!$B$4,0)</f>
        <v>8</v>
      </c>
      <c r="F7" s="10" t="str">
        <f aca="false">IF(OR(C7="U",C7="K",C7="F",C7="G"),IF(D7="",0,D7),IF(D7="","",D7-E7))</f>
        <v/>
      </c>
      <c r="G7" s="26"/>
    </row>
    <row r="8" customFormat="false" ht="15" hidden="false" customHeight="false" outlineLevel="0" collapsed="false">
      <c r="A8" s="22" t="n">
        <v>46056</v>
      </c>
      <c r="B8" s="23" t="s">
        <v>48</v>
      </c>
      <c r="C8" s="24"/>
      <c r="D8" s="25"/>
      <c r="E8" s="10" t="n">
        <f aca="false">IF(WEEKDAY(A8,2)&lt;=5,Übersicht!$B$4,0)</f>
        <v>8</v>
      </c>
      <c r="F8" s="10" t="str">
        <f aca="false">IF(OR(C8="U",C8="K",C8="F",C8="G"),IF(D8="",0,D8),IF(D8="","",D8-E8))</f>
        <v/>
      </c>
      <c r="G8" s="26"/>
    </row>
    <row r="9" customFormat="false" ht="15" hidden="false" customHeight="false" outlineLevel="0" collapsed="false">
      <c r="A9" s="22" t="n">
        <v>46057</v>
      </c>
      <c r="B9" s="23" t="s">
        <v>49</v>
      </c>
      <c r="C9" s="24"/>
      <c r="D9" s="25"/>
      <c r="E9" s="10" t="n">
        <f aca="false">IF(WEEKDAY(A9,2)&lt;=5,Übersicht!$B$4,0)</f>
        <v>8</v>
      </c>
      <c r="F9" s="10" t="str">
        <f aca="false">IF(OR(C9="U",C9="K",C9="F",C9="G"),IF(D9="",0,D9),IF(D9="","",D9-E9))</f>
        <v/>
      </c>
      <c r="G9" s="26"/>
    </row>
    <row r="10" customFormat="false" ht="15" hidden="false" customHeight="false" outlineLevel="0" collapsed="false">
      <c r="A10" s="22" t="n">
        <v>46058</v>
      </c>
      <c r="B10" s="23" t="s">
        <v>50</v>
      </c>
      <c r="C10" s="24"/>
      <c r="D10" s="25"/>
      <c r="E10" s="10" t="n">
        <f aca="false">IF(WEEKDAY(A10,2)&lt;=5,Übersicht!$B$4,0)</f>
        <v>8</v>
      </c>
      <c r="F10" s="10" t="str">
        <f aca="false">IF(OR(C10="U",C10="K",C10="F",C10="G"),IF(D10="",0,D10),IF(D10="","",D10-E10))</f>
        <v/>
      </c>
      <c r="G10" s="26"/>
    </row>
    <row r="11" customFormat="false" ht="15" hidden="false" customHeight="false" outlineLevel="0" collapsed="false">
      <c r="A11" s="22" t="n">
        <v>46059</v>
      </c>
      <c r="B11" s="23" t="s">
        <v>51</v>
      </c>
      <c r="C11" s="24"/>
      <c r="D11" s="25"/>
      <c r="E11" s="10" t="n">
        <f aca="false">IF(WEEKDAY(A11,2)&lt;=5,Übersicht!$B$4,0)</f>
        <v>8</v>
      </c>
      <c r="F11" s="10" t="str">
        <f aca="false">IF(OR(C11="U",C11="K",C11="F",C11="G"),IF(D11="",0,D11),IF(D11="","",D11-E11))</f>
        <v/>
      </c>
      <c r="G11" s="26"/>
    </row>
    <row r="12" customFormat="false" ht="15" hidden="false" customHeight="false" outlineLevel="0" collapsed="false">
      <c r="A12" s="16" t="n">
        <v>46060</v>
      </c>
      <c r="B12" s="17" t="s">
        <v>45</v>
      </c>
      <c r="C12" s="18"/>
      <c r="D12" s="19"/>
      <c r="E12" s="20" t="n">
        <f aca="false">IF(WEEKDAY(A12,2)&lt;=5,Übersicht!$B$4,0)</f>
        <v>0</v>
      </c>
      <c r="F12" s="20" t="str">
        <f aca="false">IF(OR(C12="U",C12="K",C12="F",C12="G"),IF(D12="",0,D12),IF(D12="","",D12-E12))</f>
        <v/>
      </c>
      <c r="G12" s="21"/>
    </row>
    <row r="13" customFormat="false" ht="15" hidden="false" customHeight="false" outlineLevel="0" collapsed="false">
      <c r="A13" s="16" t="n">
        <v>46061</v>
      </c>
      <c r="B13" s="17" t="s">
        <v>46</v>
      </c>
      <c r="C13" s="18"/>
      <c r="D13" s="19"/>
      <c r="E13" s="20" t="n">
        <f aca="false">IF(WEEKDAY(A13,2)&lt;=5,Übersicht!$B$4,0)</f>
        <v>0</v>
      </c>
      <c r="F13" s="20" t="str">
        <f aca="false">IF(OR(C13="U",C13="K",C13="F",C13="G"),IF(D13="",0,D13),IF(D13="","",D13-E13))</f>
        <v/>
      </c>
      <c r="G13" s="21"/>
    </row>
    <row r="14" customFormat="false" ht="15" hidden="false" customHeight="false" outlineLevel="0" collapsed="false">
      <c r="A14" s="22" t="n">
        <v>46062</v>
      </c>
      <c r="B14" s="23" t="s">
        <v>47</v>
      </c>
      <c r="C14" s="24"/>
      <c r="D14" s="25"/>
      <c r="E14" s="10" t="n">
        <f aca="false">IF(WEEKDAY(A14,2)&lt;=5,Übersicht!$B$4,0)</f>
        <v>8</v>
      </c>
      <c r="F14" s="10" t="str">
        <f aca="false">IF(OR(C14="U",C14="K",C14="F",C14="G"),IF(D14="",0,D14),IF(D14="","",D14-E14))</f>
        <v/>
      </c>
      <c r="G14" s="26"/>
    </row>
    <row r="15" customFormat="false" ht="15" hidden="false" customHeight="false" outlineLevel="0" collapsed="false">
      <c r="A15" s="22" t="n">
        <v>46063</v>
      </c>
      <c r="B15" s="23" t="s">
        <v>48</v>
      </c>
      <c r="C15" s="24"/>
      <c r="D15" s="25"/>
      <c r="E15" s="10" t="n">
        <f aca="false">IF(WEEKDAY(A15,2)&lt;=5,Übersicht!$B$4,0)</f>
        <v>8</v>
      </c>
      <c r="F15" s="10" t="str">
        <f aca="false">IF(OR(C15="U",C15="K",C15="F",C15="G"),IF(D15="",0,D15),IF(D15="","",D15-E15))</f>
        <v/>
      </c>
      <c r="G15" s="26"/>
    </row>
    <row r="16" customFormat="false" ht="15" hidden="false" customHeight="false" outlineLevel="0" collapsed="false">
      <c r="A16" s="22" t="n">
        <v>46064</v>
      </c>
      <c r="B16" s="23" t="s">
        <v>49</v>
      </c>
      <c r="C16" s="24"/>
      <c r="D16" s="25"/>
      <c r="E16" s="10" t="n">
        <f aca="false">IF(WEEKDAY(A16,2)&lt;=5,Übersicht!$B$4,0)</f>
        <v>8</v>
      </c>
      <c r="F16" s="10" t="str">
        <f aca="false">IF(OR(C16="U",C16="K",C16="F",C16="G"),IF(D16="",0,D16),IF(D16="","",D16-E16))</f>
        <v/>
      </c>
      <c r="G16" s="26"/>
    </row>
    <row r="17" customFormat="false" ht="15" hidden="false" customHeight="false" outlineLevel="0" collapsed="false">
      <c r="A17" s="22" t="n">
        <v>46065</v>
      </c>
      <c r="B17" s="23" t="s">
        <v>50</v>
      </c>
      <c r="C17" s="24"/>
      <c r="D17" s="25"/>
      <c r="E17" s="10" t="n">
        <f aca="false">IF(WEEKDAY(A17,2)&lt;=5,Übersicht!$B$4,0)</f>
        <v>8</v>
      </c>
      <c r="F17" s="10" t="str">
        <f aca="false">IF(OR(C17="U",C17="K",C17="F",C17="G"),IF(D17="",0,D17),IF(D17="","",D17-E17))</f>
        <v/>
      </c>
      <c r="G17" s="26"/>
    </row>
    <row r="18" customFormat="false" ht="15" hidden="false" customHeight="false" outlineLevel="0" collapsed="false">
      <c r="A18" s="22" t="n">
        <v>46066</v>
      </c>
      <c r="B18" s="23" t="s">
        <v>51</v>
      </c>
      <c r="C18" s="24"/>
      <c r="D18" s="25"/>
      <c r="E18" s="10" t="n">
        <f aca="false">IF(WEEKDAY(A18,2)&lt;=5,Übersicht!$B$4,0)</f>
        <v>8</v>
      </c>
      <c r="F18" s="10" t="str">
        <f aca="false">IF(OR(C18="U",C18="K",C18="F",C18="G"),IF(D18="",0,D18),IF(D18="","",D18-E18))</f>
        <v/>
      </c>
      <c r="G18" s="26"/>
    </row>
    <row r="19" customFormat="false" ht="15" hidden="false" customHeight="false" outlineLevel="0" collapsed="false">
      <c r="A19" s="16" t="n">
        <v>46067</v>
      </c>
      <c r="B19" s="17" t="s">
        <v>45</v>
      </c>
      <c r="C19" s="18"/>
      <c r="D19" s="19"/>
      <c r="E19" s="20" t="n">
        <f aca="false">IF(WEEKDAY(A19,2)&lt;=5,Übersicht!$B$4,0)</f>
        <v>0</v>
      </c>
      <c r="F19" s="20" t="str">
        <f aca="false">IF(OR(C19="U",C19="K",C19="F",C19="G"),IF(D19="",0,D19),IF(D19="","",D19-E19))</f>
        <v/>
      </c>
      <c r="G19" s="21"/>
    </row>
    <row r="20" customFormat="false" ht="15" hidden="false" customHeight="false" outlineLevel="0" collapsed="false">
      <c r="A20" s="16" t="n">
        <v>46068</v>
      </c>
      <c r="B20" s="17" t="s">
        <v>46</v>
      </c>
      <c r="C20" s="18"/>
      <c r="D20" s="19"/>
      <c r="E20" s="20" t="n">
        <f aca="false">IF(WEEKDAY(A20,2)&lt;=5,Übersicht!$B$4,0)</f>
        <v>0</v>
      </c>
      <c r="F20" s="20" t="str">
        <f aca="false">IF(OR(C20="U",C20="K",C20="F",C20="G"),IF(D20="",0,D20),IF(D20="","",D20-E20))</f>
        <v/>
      </c>
      <c r="G20" s="21"/>
    </row>
    <row r="21" customFormat="false" ht="15" hidden="false" customHeight="false" outlineLevel="0" collapsed="false">
      <c r="A21" s="22" t="n">
        <v>46069</v>
      </c>
      <c r="B21" s="23" t="s">
        <v>47</v>
      </c>
      <c r="C21" s="24"/>
      <c r="D21" s="25"/>
      <c r="E21" s="10" t="n">
        <f aca="false">IF(WEEKDAY(A21,2)&lt;=5,Übersicht!$B$4,0)</f>
        <v>8</v>
      </c>
      <c r="F21" s="10" t="str">
        <f aca="false">IF(OR(C21="U",C21="K",C21="F",C21="G"),IF(D21="",0,D21),IF(D21="","",D21-E21))</f>
        <v/>
      </c>
      <c r="G21" s="26"/>
    </row>
    <row r="22" customFormat="false" ht="15" hidden="false" customHeight="false" outlineLevel="0" collapsed="false">
      <c r="A22" s="22" t="n">
        <v>46070</v>
      </c>
      <c r="B22" s="23" t="s">
        <v>48</v>
      </c>
      <c r="C22" s="24"/>
      <c r="D22" s="25"/>
      <c r="E22" s="10" t="n">
        <f aca="false">IF(WEEKDAY(A22,2)&lt;=5,Übersicht!$B$4,0)</f>
        <v>8</v>
      </c>
      <c r="F22" s="10" t="str">
        <f aca="false">IF(OR(C22="U",C22="K",C22="F",C22="G"),IF(D22="",0,D22),IF(D22="","",D22-E22))</f>
        <v/>
      </c>
      <c r="G22" s="26"/>
    </row>
    <row r="23" customFormat="false" ht="15" hidden="false" customHeight="false" outlineLevel="0" collapsed="false">
      <c r="A23" s="22" t="n">
        <v>46071</v>
      </c>
      <c r="B23" s="23" t="s">
        <v>49</v>
      </c>
      <c r="C23" s="24"/>
      <c r="D23" s="25"/>
      <c r="E23" s="10" t="n">
        <f aca="false">IF(WEEKDAY(A23,2)&lt;=5,Übersicht!$B$4,0)</f>
        <v>8</v>
      </c>
      <c r="F23" s="10" t="str">
        <f aca="false">IF(OR(C23="U",C23="K",C23="F",C23="G"),IF(D23="",0,D23),IF(D23="","",D23-E23))</f>
        <v/>
      </c>
      <c r="G23" s="26"/>
    </row>
    <row r="24" customFormat="false" ht="15" hidden="false" customHeight="false" outlineLevel="0" collapsed="false">
      <c r="A24" s="22" t="n">
        <v>46072</v>
      </c>
      <c r="B24" s="23" t="s">
        <v>50</v>
      </c>
      <c r="C24" s="24"/>
      <c r="D24" s="25"/>
      <c r="E24" s="10" t="n">
        <f aca="false">IF(WEEKDAY(A24,2)&lt;=5,Übersicht!$B$4,0)</f>
        <v>8</v>
      </c>
      <c r="F24" s="10" t="str">
        <f aca="false">IF(OR(C24="U",C24="K",C24="F",C24="G"),IF(D24="",0,D24),IF(D24="","",D24-E24))</f>
        <v/>
      </c>
      <c r="G24" s="26"/>
    </row>
    <row r="25" customFormat="false" ht="15" hidden="false" customHeight="false" outlineLevel="0" collapsed="false">
      <c r="A25" s="22" t="n">
        <v>46073</v>
      </c>
      <c r="B25" s="23" t="s">
        <v>51</v>
      </c>
      <c r="C25" s="24"/>
      <c r="D25" s="25"/>
      <c r="E25" s="10" t="n">
        <f aca="false">IF(WEEKDAY(A25,2)&lt;=5,Übersicht!$B$4,0)</f>
        <v>8</v>
      </c>
      <c r="F25" s="10" t="str">
        <f aca="false">IF(OR(C25="U",C25="K",C25="F",C25="G"),IF(D25="",0,D25),IF(D25="","",D25-E25))</f>
        <v/>
      </c>
      <c r="G25" s="26"/>
    </row>
    <row r="26" customFormat="false" ht="15" hidden="false" customHeight="false" outlineLevel="0" collapsed="false">
      <c r="A26" s="16" t="n">
        <v>46074</v>
      </c>
      <c r="B26" s="17" t="s">
        <v>45</v>
      </c>
      <c r="C26" s="18"/>
      <c r="D26" s="19"/>
      <c r="E26" s="20" t="n">
        <f aca="false">IF(WEEKDAY(A26,2)&lt;=5,Übersicht!$B$4,0)</f>
        <v>0</v>
      </c>
      <c r="F26" s="20" t="str">
        <f aca="false">IF(OR(C26="U",C26="K",C26="F",C26="G"),IF(D26="",0,D26),IF(D26="","",D26-E26))</f>
        <v/>
      </c>
      <c r="G26" s="21"/>
    </row>
    <row r="27" customFormat="false" ht="15" hidden="false" customHeight="false" outlineLevel="0" collapsed="false">
      <c r="A27" s="16" t="n">
        <v>46075</v>
      </c>
      <c r="B27" s="17" t="s">
        <v>46</v>
      </c>
      <c r="C27" s="18"/>
      <c r="D27" s="19"/>
      <c r="E27" s="20" t="n">
        <f aca="false">IF(WEEKDAY(A27,2)&lt;=5,Übersicht!$B$4,0)</f>
        <v>0</v>
      </c>
      <c r="F27" s="20" t="str">
        <f aca="false">IF(OR(C27="U",C27="K",C27="F",C27="G"),IF(D27="",0,D27),IF(D27="","",D27-E27))</f>
        <v/>
      </c>
      <c r="G27" s="21"/>
    </row>
    <row r="28" customFormat="false" ht="15" hidden="false" customHeight="false" outlineLevel="0" collapsed="false">
      <c r="A28" s="22" t="n">
        <v>46076</v>
      </c>
      <c r="B28" s="23" t="s">
        <v>47</v>
      </c>
      <c r="C28" s="24"/>
      <c r="D28" s="25"/>
      <c r="E28" s="10" t="n">
        <f aca="false">IF(WEEKDAY(A28,2)&lt;=5,Übersicht!$B$4,0)</f>
        <v>8</v>
      </c>
      <c r="F28" s="10" t="str">
        <f aca="false">IF(OR(C28="U",C28="K",C28="F",C28="G"),IF(D28="",0,D28),IF(D28="","",D28-E28))</f>
        <v/>
      </c>
      <c r="G28" s="26"/>
    </row>
    <row r="29" customFormat="false" ht="15" hidden="false" customHeight="false" outlineLevel="0" collapsed="false">
      <c r="A29" s="22" t="n">
        <v>46077</v>
      </c>
      <c r="B29" s="23" t="s">
        <v>48</v>
      </c>
      <c r="C29" s="24"/>
      <c r="D29" s="25"/>
      <c r="E29" s="10" t="n">
        <f aca="false">IF(WEEKDAY(A29,2)&lt;=5,Übersicht!$B$4,0)</f>
        <v>8</v>
      </c>
      <c r="F29" s="10" t="str">
        <f aca="false">IF(OR(C29="U",C29="K",C29="F",C29="G"),IF(D29="",0,D29),IF(D29="","",D29-E29))</f>
        <v/>
      </c>
      <c r="G29" s="26"/>
    </row>
    <row r="30" customFormat="false" ht="15" hidden="false" customHeight="false" outlineLevel="0" collapsed="false">
      <c r="A30" s="22" t="n">
        <v>46078</v>
      </c>
      <c r="B30" s="23" t="s">
        <v>49</v>
      </c>
      <c r="C30" s="24"/>
      <c r="D30" s="25"/>
      <c r="E30" s="10" t="n">
        <f aca="false">IF(WEEKDAY(A30,2)&lt;=5,Übersicht!$B$4,0)</f>
        <v>8</v>
      </c>
      <c r="F30" s="10" t="str">
        <f aca="false">IF(OR(C30="U",C30="K",C30="F",C30="G"),IF(D30="",0,D30),IF(D30="","",D30-E30))</f>
        <v/>
      </c>
      <c r="G30" s="26"/>
    </row>
    <row r="31" customFormat="false" ht="15" hidden="false" customHeight="false" outlineLevel="0" collapsed="false">
      <c r="A31" s="22" t="n">
        <v>46079</v>
      </c>
      <c r="B31" s="23" t="s">
        <v>50</v>
      </c>
      <c r="C31" s="24"/>
      <c r="D31" s="25"/>
      <c r="E31" s="10" t="n">
        <f aca="false">IF(WEEKDAY(A31,2)&lt;=5,Übersicht!$B$4,0)</f>
        <v>8</v>
      </c>
      <c r="F31" s="10" t="str">
        <f aca="false">IF(OR(C31="U",C31="K",C31="F",C31="G"),IF(D31="",0,D31),IF(D31="","",D31-E31))</f>
        <v/>
      </c>
      <c r="G31" s="26"/>
    </row>
    <row r="32" customFormat="false" ht="15" hidden="false" customHeight="false" outlineLevel="0" collapsed="false">
      <c r="A32" s="22" t="n">
        <v>46080</v>
      </c>
      <c r="B32" s="23" t="s">
        <v>51</v>
      </c>
      <c r="C32" s="24"/>
      <c r="D32" s="25"/>
      <c r="E32" s="10" t="n">
        <f aca="false">IF(WEEKDAY(A32,2)&lt;=5,Übersicht!$B$4,0)</f>
        <v>8</v>
      </c>
      <c r="F32" s="10" t="str">
        <f aca="false">IF(OR(C32="U",C32="K",C32="F",C32="G"),IF(D32="",0,D32),IF(D32="","",D32-E32))</f>
        <v/>
      </c>
      <c r="G32" s="26"/>
    </row>
    <row r="33" customFormat="false" ht="15" hidden="false" customHeight="false" outlineLevel="0" collapsed="false">
      <c r="A33" s="16" t="n">
        <v>46081</v>
      </c>
      <c r="B33" s="17" t="s">
        <v>45</v>
      </c>
      <c r="C33" s="18"/>
      <c r="D33" s="19"/>
      <c r="E33" s="20" t="n">
        <f aca="false">IF(WEEKDAY(A33,2)&lt;=5,Übersicht!$B$4,0)</f>
        <v>0</v>
      </c>
      <c r="F33" s="20" t="str">
        <f aca="false">IF(OR(C33="U",C33="K",C33="F",C33="G"),IF(D33="",0,D33),IF(D33="","",D33-E33))</f>
        <v/>
      </c>
      <c r="G33" s="21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0</v>
      </c>
      <c r="E38" s="12" t="n">
        <f aca="false">SUM(E6:E36)</f>
        <v>160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20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Übersicht!F28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3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G7" activeCellId="0" sqref="G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79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16" t="n">
        <v>46082</v>
      </c>
      <c r="B6" s="17" t="s">
        <v>46</v>
      </c>
      <c r="C6" s="18"/>
      <c r="D6" s="19"/>
      <c r="E6" s="20" t="n">
        <f aca="false">IF(WEEKDAY(A6,2)&lt;=5,Übersicht!$B$4,0)</f>
        <v>0</v>
      </c>
      <c r="F6" s="20" t="str">
        <f aca="false">IF(OR(C6="U",C6="K",C6="F",C6="G"),IF(D6="",0,D6),IF(D6="","",D6-E6))</f>
        <v/>
      </c>
      <c r="G6" s="21"/>
    </row>
    <row r="7" customFormat="false" ht="15" hidden="false" customHeight="false" outlineLevel="0" collapsed="false">
      <c r="A7" s="22" t="n">
        <v>46083</v>
      </c>
      <c r="B7" s="23" t="s">
        <v>47</v>
      </c>
      <c r="C7" s="24"/>
      <c r="D7" s="25"/>
      <c r="E7" s="10" t="n">
        <f aca="false">IF(WEEKDAY(A7,2)&lt;=5,Übersicht!$B$4,0)</f>
        <v>8</v>
      </c>
      <c r="F7" s="10" t="str">
        <f aca="false">IF(OR(C7="U",C7="K",C7="F",C7="G"),IF(D7="",0,D7),IF(D7="","",D7-E7))</f>
        <v/>
      </c>
      <c r="G7" s="26"/>
    </row>
    <row r="8" customFormat="false" ht="15" hidden="false" customHeight="false" outlineLevel="0" collapsed="false">
      <c r="A8" s="22" t="n">
        <v>46084</v>
      </c>
      <c r="B8" s="23" t="s">
        <v>48</v>
      </c>
      <c r="C8" s="24"/>
      <c r="D8" s="25"/>
      <c r="E8" s="10" t="n">
        <f aca="false">IF(WEEKDAY(A8,2)&lt;=5,Übersicht!$B$4,0)</f>
        <v>8</v>
      </c>
      <c r="F8" s="10" t="str">
        <f aca="false">IF(OR(C8="U",C8="K",C8="F",C8="G"),IF(D8="",0,D8),IF(D8="","",D8-E8))</f>
        <v/>
      </c>
      <c r="G8" s="26"/>
    </row>
    <row r="9" customFormat="false" ht="15" hidden="false" customHeight="false" outlineLevel="0" collapsed="false">
      <c r="A9" s="22" t="n">
        <v>46085</v>
      </c>
      <c r="B9" s="23" t="s">
        <v>49</v>
      </c>
      <c r="C9" s="24"/>
      <c r="D9" s="25"/>
      <c r="E9" s="10" t="n">
        <f aca="false">IF(WEEKDAY(A9,2)&lt;=5,Übersicht!$B$4,0)</f>
        <v>8</v>
      </c>
      <c r="F9" s="10" t="str">
        <f aca="false">IF(OR(C9="U",C9="K",C9="F",C9="G"),IF(D9="",0,D9),IF(D9="","",D9-E9))</f>
        <v/>
      </c>
      <c r="G9" s="26"/>
    </row>
    <row r="10" customFormat="false" ht="15" hidden="false" customHeight="false" outlineLevel="0" collapsed="false">
      <c r="A10" s="22" t="n">
        <v>46086</v>
      </c>
      <c r="B10" s="23" t="s">
        <v>50</v>
      </c>
      <c r="C10" s="24"/>
      <c r="D10" s="25"/>
      <c r="E10" s="10" t="n">
        <f aca="false">IF(WEEKDAY(A10,2)&lt;=5,Übersicht!$B$4,0)</f>
        <v>8</v>
      </c>
      <c r="F10" s="10" t="str">
        <f aca="false">IF(OR(C10="U",C10="K",C10="F",C10="G"),IF(D10="",0,D10),IF(D10="","",D10-E10))</f>
        <v/>
      </c>
      <c r="G10" s="26"/>
    </row>
    <row r="11" customFormat="false" ht="15" hidden="false" customHeight="false" outlineLevel="0" collapsed="false">
      <c r="A11" s="22" t="n">
        <v>46087</v>
      </c>
      <c r="B11" s="23" t="s">
        <v>51</v>
      </c>
      <c r="C11" s="24"/>
      <c r="D11" s="25"/>
      <c r="E11" s="10" t="n">
        <f aca="false">IF(WEEKDAY(A11,2)&lt;=5,Übersicht!$B$4,0)</f>
        <v>8</v>
      </c>
      <c r="F11" s="10" t="str">
        <f aca="false">IF(OR(C11="U",C11="K",C11="F",C11="G"),IF(D11="",0,D11),IF(D11="","",D11-E11))</f>
        <v/>
      </c>
      <c r="G11" s="26"/>
    </row>
    <row r="12" customFormat="false" ht="15" hidden="false" customHeight="false" outlineLevel="0" collapsed="false">
      <c r="A12" s="16" t="n">
        <v>46088</v>
      </c>
      <c r="B12" s="17" t="s">
        <v>45</v>
      </c>
      <c r="C12" s="18"/>
      <c r="D12" s="19"/>
      <c r="E12" s="20" t="n">
        <f aca="false">IF(WEEKDAY(A12,2)&lt;=5,Übersicht!$B$4,0)</f>
        <v>0</v>
      </c>
      <c r="F12" s="20" t="str">
        <f aca="false">IF(OR(C12="U",C12="K",C12="F",C12="G"),IF(D12="",0,D12),IF(D12="","",D12-E12))</f>
        <v/>
      </c>
      <c r="G12" s="21"/>
    </row>
    <row r="13" customFormat="false" ht="15" hidden="false" customHeight="false" outlineLevel="0" collapsed="false">
      <c r="A13" s="16" t="n">
        <v>46089</v>
      </c>
      <c r="B13" s="17" t="s">
        <v>46</v>
      </c>
      <c r="C13" s="18"/>
      <c r="D13" s="19"/>
      <c r="E13" s="20" t="n">
        <f aca="false">IF(WEEKDAY(A13,2)&lt;=5,Übersicht!$B$4,0)</f>
        <v>0</v>
      </c>
      <c r="F13" s="20" t="str">
        <f aca="false">IF(OR(C13="U",C13="K",C13="F",C13="G"),IF(D13="",0,D13),IF(D13="","",D13-E13))</f>
        <v/>
      </c>
      <c r="G13" s="21"/>
    </row>
    <row r="14" customFormat="false" ht="15" hidden="false" customHeight="false" outlineLevel="0" collapsed="false">
      <c r="A14" s="22" t="n">
        <v>46090</v>
      </c>
      <c r="B14" s="23" t="s">
        <v>47</v>
      </c>
      <c r="C14" s="24"/>
      <c r="D14" s="25"/>
      <c r="E14" s="10" t="n">
        <f aca="false">IF(WEEKDAY(A14,2)&lt;=5,Übersicht!$B$4,0)</f>
        <v>8</v>
      </c>
      <c r="F14" s="10" t="str">
        <f aca="false">IF(OR(C14="U",C14="K",C14="F",C14="G"),IF(D14="",0,D14),IF(D14="","",D14-E14))</f>
        <v/>
      </c>
      <c r="G14" s="26"/>
    </row>
    <row r="15" customFormat="false" ht="15" hidden="false" customHeight="false" outlineLevel="0" collapsed="false">
      <c r="A15" s="22" t="n">
        <v>46091</v>
      </c>
      <c r="B15" s="23" t="s">
        <v>48</v>
      </c>
      <c r="C15" s="24"/>
      <c r="D15" s="25"/>
      <c r="E15" s="10" t="n">
        <f aca="false">IF(WEEKDAY(A15,2)&lt;=5,Übersicht!$B$4,0)</f>
        <v>8</v>
      </c>
      <c r="F15" s="10" t="str">
        <f aca="false">IF(OR(C15="U",C15="K",C15="F",C15="G"),IF(D15="",0,D15),IF(D15="","",D15-E15))</f>
        <v/>
      </c>
      <c r="G15" s="26"/>
    </row>
    <row r="16" customFormat="false" ht="15" hidden="false" customHeight="false" outlineLevel="0" collapsed="false">
      <c r="A16" s="22" t="n">
        <v>46092</v>
      </c>
      <c r="B16" s="23" t="s">
        <v>49</v>
      </c>
      <c r="C16" s="24"/>
      <c r="D16" s="25"/>
      <c r="E16" s="10" t="n">
        <f aca="false">IF(WEEKDAY(A16,2)&lt;=5,Übersicht!$B$4,0)</f>
        <v>8</v>
      </c>
      <c r="F16" s="10" t="str">
        <f aca="false">IF(OR(C16="U",C16="K",C16="F",C16="G"),IF(D16="",0,D16),IF(D16="","",D16-E16))</f>
        <v/>
      </c>
      <c r="G16" s="26"/>
    </row>
    <row r="17" customFormat="false" ht="15" hidden="false" customHeight="false" outlineLevel="0" collapsed="false">
      <c r="A17" s="22" t="n">
        <v>46093</v>
      </c>
      <c r="B17" s="23" t="s">
        <v>50</v>
      </c>
      <c r="C17" s="24"/>
      <c r="D17" s="25"/>
      <c r="E17" s="10" t="n">
        <f aca="false">IF(WEEKDAY(A17,2)&lt;=5,Übersicht!$B$4,0)</f>
        <v>8</v>
      </c>
      <c r="F17" s="10" t="str">
        <f aca="false">IF(OR(C17="U",C17="K",C17="F",C17="G"),IF(D17="",0,D17),IF(D17="","",D17-E17))</f>
        <v/>
      </c>
      <c r="G17" s="26"/>
    </row>
    <row r="18" customFormat="false" ht="15" hidden="false" customHeight="false" outlineLevel="0" collapsed="false">
      <c r="A18" s="22" t="n">
        <v>46094</v>
      </c>
      <c r="B18" s="23" t="s">
        <v>51</v>
      </c>
      <c r="C18" s="24"/>
      <c r="D18" s="25"/>
      <c r="E18" s="10" t="n">
        <f aca="false">IF(WEEKDAY(A18,2)&lt;=5,Übersicht!$B$4,0)</f>
        <v>8</v>
      </c>
      <c r="F18" s="10" t="str">
        <f aca="false">IF(OR(C18="U",C18="K",C18="F",C18="G"),IF(D18="",0,D18),IF(D18="","",D18-E18))</f>
        <v/>
      </c>
      <c r="G18" s="26"/>
    </row>
    <row r="19" customFormat="false" ht="15" hidden="false" customHeight="false" outlineLevel="0" collapsed="false">
      <c r="A19" s="16" t="n">
        <v>46095</v>
      </c>
      <c r="B19" s="17" t="s">
        <v>45</v>
      </c>
      <c r="C19" s="18"/>
      <c r="D19" s="19"/>
      <c r="E19" s="20" t="n">
        <f aca="false">IF(WEEKDAY(A19,2)&lt;=5,Übersicht!$B$4,0)</f>
        <v>0</v>
      </c>
      <c r="F19" s="20" t="str">
        <f aca="false">IF(OR(C19="U",C19="K",C19="F",C19="G"),IF(D19="",0,D19),IF(D19="","",D19-E19))</f>
        <v/>
      </c>
      <c r="G19" s="21"/>
    </row>
    <row r="20" customFormat="false" ht="15" hidden="false" customHeight="false" outlineLevel="0" collapsed="false">
      <c r="A20" s="16" t="n">
        <v>46096</v>
      </c>
      <c r="B20" s="17" t="s">
        <v>46</v>
      </c>
      <c r="C20" s="18"/>
      <c r="D20" s="19"/>
      <c r="E20" s="20" t="n">
        <f aca="false">IF(WEEKDAY(A20,2)&lt;=5,Übersicht!$B$4,0)</f>
        <v>0</v>
      </c>
      <c r="F20" s="20" t="str">
        <f aca="false">IF(OR(C20="U",C20="K",C20="F",C20="G"),IF(D20="",0,D20),IF(D20="","",D20-E20))</f>
        <v/>
      </c>
      <c r="G20" s="21"/>
    </row>
    <row r="21" customFormat="false" ht="15" hidden="false" customHeight="false" outlineLevel="0" collapsed="false">
      <c r="A21" s="22" t="n">
        <v>46097</v>
      </c>
      <c r="B21" s="23" t="s">
        <v>47</v>
      </c>
      <c r="C21" s="24"/>
      <c r="D21" s="25"/>
      <c r="E21" s="10" t="n">
        <f aca="false">IF(WEEKDAY(A21,2)&lt;=5,Übersicht!$B$4,0)</f>
        <v>8</v>
      </c>
      <c r="F21" s="10" t="str">
        <f aca="false">IF(OR(C21="U",C21="K",C21="F",C21="G"),IF(D21="",0,D21),IF(D21="","",D21-E21))</f>
        <v/>
      </c>
      <c r="G21" s="26"/>
    </row>
    <row r="22" customFormat="false" ht="15" hidden="false" customHeight="false" outlineLevel="0" collapsed="false">
      <c r="A22" s="22" t="n">
        <v>46098</v>
      </c>
      <c r="B22" s="23" t="s">
        <v>48</v>
      </c>
      <c r="C22" s="24"/>
      <c r="D22" s="25"/>
      <c r="E22" s="10" t="n">
        <f aca="false">IF(WEEKDAY(A22,2)&lt;=5,Übersicht!$B$4,0)</f>
        <v>8</v>
      </c>
      <c r="F22" s="10" t="str">
        <f aca="false">IF(OR(C22="U",C22="K",C22="F",C22="G"),IF(D22="",0,D22),IF(D22="","",D22-E22))</f>
        <v/>
      </c>
      <c r="G22" s="26"/>
    </row>
    <row r="23" customFormat="false" ht="15" hidden="false" customHeight="false" outlineLevel="0" collapsed="false">
      <c r="A23" s="22" t="n">
        <v>46099</v>
      </c>
      <c r="B23" s="23" t="s">
        <v>49</v>
      </c>
      <c r="C23" s="24"/>
      <c r="D23" s="25"/>
      <c r="E23" s="10" t="n">
        <f aca="false">IF(WEEKDAY(A23,2)&lt;=5,Übersicht!$B$4,0)</f>
        <v>8</v>
      </c>
      <c r="F23" s="10" t="str">
        <f aca="false">IF(OR(C23="U",C23="K",C23="F",C23="G"),IF(D23="",0,D23),IF(D23="","",D23-E23))</f>
        <v/>
      </c>
      <c r="G23" s="26"/>
    </row>
    <row r="24" customFormat="false" ht="15" hidden="false" customHeight="false" outlineLevel="0" collapsed="false">
      <c r="A24" s="22" t="n">
        <v>46100</v>
      </c>
      <c r="B24" s="23" t="s">
        <v>50</v>
      </c>
      <c r="C24" s="24"/>
      <c r="D24" s="25"/>
      <c r="E24" s="10" t="n">
        <f aca="false">IF(WEEKDAY(A24,2)&lt;=5,Übersicht!$B$4,0)</f>
        <v>8</v>
      </c>
      <c r="F24" s="10" t="str">
        <f aca="false">IF(OR(C24="U",C24="K",C24="F",C24="G"),IF(D24="",0,D24),IF(D24="","",D24-E24))</f>
        <v/>
      </c>
      <c r="G24" s="26"/>
    </row>
    <row r="25" customFormat="false" ht="15" hidden="false" customHeight="false" outlineLevel="0" collapsed="false">
      <c r="A25" s="22" t="n">
        <v>46101</v>
      </c>
      <c r="B25" s="23" t="s">
        <v>51</v>
      </c>
      <c r="C25" s="24"/>
      <c r="D25" s="25"/>
      <c r="E25" s="10" t="n">
        <f aca="false">IF(WEEKDAY(A25,2)&lt;=5,Übersicht!$B$4,0)</f>
        <v>8</v>
      </c>
      <c r="F25" s="10" t="str">
        <f aca="false">IF(OR(C25="U",C25="K",C25="F",C25="G"),IF(D25="",0,D25),IF(D25="","",D25-E25))</f>
        <v/>
      </c>
      <c r="G25" s="26"/>
    </row>
    <row r="26" customFormat="false" ht="15" hidden="false" customHeight="false" outlineLevel="0" collapsed="false">
      <c r="A26" s="16" t="n">
        <v>46102</v>
      </c>
      <c r="B26" s="17" t="s">
        <v>45</v>
      </c>
      <c r="C26" s="18"/>
      <c r="D26" s="19"/>
      <c r="E26" s="20" t="n">
        <f aca="false">IF(WEEKDAY(A26,2)&lt;=5,Übersicht!$B$4,0)</f>
        <v>0</v>
      </c>
      <c r="F26" s="20" t="str">
        <f aca="false">IF(OR(C26="U",C26="K",C26="F",C26="G"),IF(D26="",0,D26),IF(D26="","",D26-E26))</f>
        <v/>
      </c>
      <c r="G26" s="21"/>
    </row>
    <row r="27" customFormat="false" ht="15" hidden="false" customHeight="false" outlineLevel="0" collapsed="false">
      <c r="A27" s="16" t="n">
        <v>46103</v>
      </c>
      <c r="B27" s="17" t="s">
        <v>46</v>
      </c>
      <c r="C27" s="18"/>
      <c r="D27" s="19"/>
      <c r="E27" s="20" t="n">
        <f aca="false">IF(WEEKDAY(A27,2)&lt;=5,Übersicht!$B$4,0)</f>
        <v>0</v>
      </c>
      <c r="F27" s="20" t="str">
        <f aca="false">IF(OR(C27="U",C27="K",C27="F",C27="G"),IF(D27="",0,D27),IF(D27="","",D27-E27))</f>
        <v/>
      </c>
      <c r="G27" s="21"/>
    </row>
    <row r="28" customFormat="false" ht="15" hidden="false" customHeight="false" outlineLevel="0" collapsed="false">
      <c r="A28" s="22" t="n">
        <v>46104</v>
      </c>
      <c r="B28" s="23" t="s">
        <v>47</v>
      </c>
      <c r="C28" s="24"/>
      <c r="D28" s="25"/>
      <c r="E28" s="10" t="n">
        <f aca="false">IF(WEEKDAY(A28,2)&lt;=5,Übersicht!$B$4,0)</f>
        <v>8</v>
      </c>
      <c r="F28" s="10" t="str">
        <f aca="false">IF(OR(C28="U",C28="K",C28="F",C28="G"),IF(D28="",0,D28),IF(D28="","",D28-E28))</f>
        <v/>
      </c>
      <c r="G28" s="26"/>
    </row>
    <row r="29" customFormat="false" ht="15" hidden="false" customHeight="false" outlineLevel="0" collapsed="false">
      <c r="A29" s="22" t="n">
        <v>46105</v>
      </c>
      <c r="B29" s="23" t="s">
        <v>48</v>
      </c>
      <c r="C29" s="24"/>
      <c r="D29" s="25"/>
      <c r="E29" s="10" t="n">
        <f aca="false">IF(WEEKDAY(A29,2)&lt;=5,Übersicht!$B$4,0)</f>
        <v>8</v>
      </c>
      <c r="F29" s="10" t="str">
        <f aca="false">IF(OR(C29="U",C29="K",C29="F",C29="G"),IF(D29="",0,D29),IF(D29="","",D29-E29))</f>
        <v/>
      </c>
      <c r="G29" s="26"/>
    </row>
    <row r="30" customFormat="false" ht="15" hidden="false" customHeight="false" outlineLevel="0" collapsed="false">
      <c r="A30" s="22" t="n">
        <v>46106</v>
      </c>
      <c r="B30" s="23" t="s">
        <v>49</v>
      </c>
      <c r="C30" s="24"/>
      <c r="D30" s="25"/>
      <c r="E30" s="10" t="n">
        <f aca="false">IF(WEEKDAY(A30,2)&lt;=5,Übersicht!$B$4,0)</f>
        <v>8</v>
      </c>
      <c r="F30" s="10" t="str">
        <f aca="false">IF(OR(C30="U",C30="K",C30="F",C30="G"),IF(D30="",0,D30),IF(D30="","",D30-E30))</f>
        <v/>
      </c>
      <c r="G30" s="26"/>
    </row>
    <row r="31" customFormat="false" ht="15" hidden="false" customHeight="false" outlineLevel="0" collapsed="false">
      <c r="A31" s="22" t="n">
        <v>46107</v>
      </c>
      <c r="B31" s="23" t="s">
        <v>50</v>
      </c>
      <c r="C31" s="24"/>
      <c r="D31" s="25"/>
      <c r="E31" s="10" t="n">
        <f aca="false">IF(WEEKDAY(A31,2)&lt;=5,Übersicht!$B$4,0)</f>
        <v>8</v>
      </c>
      <c r="F31" s="10" t="str">
        <f aca="false">IF(OR(C31="U",C31="K",C31="F",C31="G"),IF(D31="",0,D31),IF(D31="","",D31-E31))</f>
        <v/>
      </c>
      <c r="G31" s="26"/>
    </row>
    <row r="32" customFormat="false" ht="15" hidden="false" customHeight="false" outlineLevel="0" collapsed="false">
      <c r="A32" s="22" t="n">
        <v>46108</v>
      </c>
      <c r="B32" s="23" t="s">
        <v>51</v>
      </c>
      <c r="C32" s="24"/>
      <c r="D32" s="25"/>
      <c r="E32" s="10" t="n">
        <f aca="false">IF(WEEKDAY(A32,2)&lt;=5,Übersicht!$B$4,0)</f>
        <v>8</v>
      </c>
      <c r="F32" s="10" t="str">
        <f aca="false">IF(OR(C32="U",C32="K",C32="F",C32="G"),IF(D32="",0,D32),IF(D32="","",D32-E32))</f>
        <v/>
      </c>
      <c r="G32" s="26"/>
    </row>
    <row r="33" customFormat="false" ht="15" hidden="false" customHeight="false" outlineLevel="0" collapsed="false">
      <c r="A33" s="16" t="n">
        <v>46109</v>
      </c>
      <c r="B33" s="17" t="s">
        <v>45</v>
      </c>
      <c r="C33" s="18"/>
      <c r="D33" s="19"/>
      <c r="E33" s="20" t="n">
        <f aca="false">IF(WEEKDAY(A33,2)&lt;=5,Übersicht!$B$4,0)</f>
        <v>0</v>
      </c>
      <c r="F33" s="20" t="str">
        <f aca="false">IF(OR(C33="U",C33="K",C33="F",C33="G"),IF(D33="",0,D33),IF(D33="","",D33-E33))</f>
        <v/>
      </c>
      <c r="G33" s="21"/>
    </row>
    <row r="34" customFormat="false" ht="15" hidden="false" customHeight="false" outlineLevel="0" collapsed="false">
      <c r="A34" s="16" t="n">
        <v>46110</v>
      </c>
      <c r="B34" s="17" t="s">
        <v>46</v>
      </c>
      <c r="C34" s="18"/>
      <c r="D34" s="19"/>
      <c r="E34" s="20" t="n">
        <f aca="false">IF(WEEKDAY(A34,2)&lt;=5,Übersicht!$B$4,0)</f>
        <v>0</v>
      </c>
      <c r="F34" s="20" t="str">
        <f aca="false">IF(OR(C34="U",C34="K",C34="F",C34="G"),IF(D34="",0,D34),IF(D34="","",D34-E34))</f>
        <v/>
      </c>
      <c r="G34" s="21"/>
    </row>
    <row r="35" customFormat="false" ht="15" hidden="false" customHeight="false" outlineLevel="0" collapsed="false">
      <c r="A35" s="22" t="n">
        <v>46111</v>
      </c>
      <c r="B35" s="23" t="s">
        <v>47</v>
      </c>
      <c r="C35" s="24"/>
      <c r="D35" s="25"/>
      <c r="E35" s="10" t="n">
        <f aca="false">IF(WEEKDAY(A35,2)&lt;=5,Übersicht!$B$4,0)</f>
        <v>8</v>
      </c>
      <c r="F35" s="10" t="str">
        <f aca="false">IF(OR(C35="U",C35="K",C35="F",C35="G"),IF(D35="",0,D35),IF(D35="","",D35-E35))</f>
        <v/>
      </c>
      <c r="G35" s="26"/>
    </row>
    <row r="36" customFormat="false" ht="15" hidden="false" customHeight="false" outlineLevel="0" collapsed="false">
      <c r="A36" s="22" t="n">
        <v>46112</v>
      </c>
      <c r="B36" s="23" t="s">
        <v>48</v>
      </c>
      <c r="C36" s="24"/>
      <c r="D36" s="25"/>
      <c r="E36" s="10" t="n">
        <f aca="false">IF(WEEKDAY(A36,2)&lt;=5,Übersicht!$B$4,0)</f>
        <v>8</v>
      </c>
      <c r="F36" s="10" t="str">
        <f aca="false">IF(OR(C36="U",C36="K",C36="F",C36="G"),IF(D36="",0,D36),IF(D36="","",D36-E36))</f>
        <v/>
      </c>
      <c r="G36" s="26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0</v>
      </c>
      <c r="E38" s="12" t="n">
        <f aca="false">SUM(E6:E36)</f>
        <v>176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22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Übersicht!F29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6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2" activeCellId="0" sqref="B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80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22" t="n">
        <v>46113</v>
      </c>
      <c r="B6" s="23" t="s">
        <v>49</v>
      </c>
      <c r="C6" s="24"/>
      <c r="D6" s="25"/>
      <c r="E6" s="10" t="n">
        <f aca="false">IF(WEEKDAY(A6,2)&lt;=5,Übersicht!$B$4,0)</f>
        <v>8</v>
      </c>
      <c r="F6" s="10" t="str">
        <f aca="false">IF(OR(C6="U",C6="K",C6="F",C6="G"),IF(D6="",0,D6),IF(D6="","",D6-E6))</f>
        <v/>
      </c>
      <c r="G6" s="26"/>
    </row>
    <row r="7" customFormat="false" ht="15" hidden="false" customHeight="false" outlineLevel="0" collapsed="false">
      <c r="A7" s="22" t="n">
        <v>46114</v>
      </c>
      <c r="B7" s="23" t="s">
        <v>50</v>
      </c>
      <c r="C7" s="24"/>
      <c r="D7" s="25"/>
      <c r="E7" s="10" t="n">
        <f aca="false">IF(WEEKDAY(A7,2)&lt;=5,Übersicht!$B$4,0)</f>
        <v>8</v>
      </c>
      <c r="F7" s="10" t="str">
        <f aca="false">IF(OR(C7="U",C7="K",C7="F",C7="G"),IF(D7="",0,D7),IF(D7="","",D7-E7))</f>
        <v/>
      </c>
      <c r="G7" s="26"/>
    </row>
    <row r="8" customFormat="false" ht="15" hidden="false" customHeight="false" outlineLevel="0" collapsed="false">
      <c r="A8" s="22" t="n">
        <v>46115</v>
      </c>
      <c r="B8" s="23" t="s">
        <v>51</v>
      </c>
      <c r="C8" s="24" t="s">
        <v>56</v>
      </c>
      <c r="D8" s="25"/>
      <c r="E8" s="10" t="n">
        <f aca="false">IF(WEEKDAY(A8,2)&lt;=5,Übersicht!$B$4,0)</f>
        <v>8</v>
      </c>
      <c r="F8" s="10" t="n">
        <f aca="false">IF(OR(C8="U",C8="K",C8="F",C8="G"),IF(D8="",0,D8),IF(D8="","",D8-E8))</f>
        <v>0</v>
      </c>
      <c r="G8" s="26" t="s">
        <v>57</v>
      </c>
    </row>
    <row r="9" customFormat="false" ht="15" hidden="false" customHeight="false" outlineLevel="0" collapsed="false">
      <c r="A9" s="16" t="n">
        <v>46116</v>
      </c>
      <c r="B9" s="17" t="s">
        <v>45</v>
      </c>
      <c r="C9" s="18"/>
      <c r="D9" s="19"/>
      <c r="E9" s="20" t="n">
        <f aca="false">IF(WEEKDAY(A9,2)&lt;=5,Übersicht!$B$4,0)</f>
        <v>0</v>
      </c>
      <c r="F9" s="20" t="str">
        <f aca="false">IF(OR(C9="U",C9="K",C9="F",C9="G"),IF(D9="",0,D9),IF(D9="","",D9-E9))</f>
        <v/>
      </c>
      <c r="G9" s="21"/>
    </row>
    <row r="10" customFormat="false" ht="15" hidden="false" customHeight="false" outlineLevel="0" collapsed="false">
      <c r="A10" s="16" t="n">
        <v>46117</v>
      </c>
      <c r="B10" s="17" t="s">
        <v>46</v>
      </c>
      <c r="C10" s="18"/>
      <c r="D10" s="19"/>
      <c r="E10" s="20" t="n">
        <f aca="false">IF(WEEKDAY(A10,2)&lt;=5,Übersicht!$B$4,0)</f>
        <v>0</v>
      </c>
      <c r="F10" s="20" t="str">
        <f aca="false">IF(OR(C10="U",C10="K",C10="F",C10="G"),IF(D10="",0,D10),IF(D10="","",D10-E10))</f>
        <v/>
      </c>
      <c r="G10" s="21"/>
    </row>
    <row r="11" customFormat="false" ht="15" hidden="false" customHeight="false" outlineLevel="0" collapsed="false">
      <c r="A11" s="22" t="n">
        <v>46118</v>
      </c>
      <c r="B11" s="23" t="s">
        <v>47</v>
      </c>
      <c r="C11" s="24" t="s">
        <v>56</v>
      </c>
      <c r="D11" s="25"/>
      <c r="E11" s="10" t="n">
        <f aca="false">IF(WEEKDAY(A11,2)&lt;=5,Übersicht!$B$4,0)</f>
        <v>8</v>
      </c>
      <c r="F11" s="10" t="n">
        <f aca="false">IF(OR(C11="U",C11="K",C11="F",C11="G"),IF(D11="",0,D11),IF(D11="","",D11-E11))</f>
        <v>0</v>
      </c>
      <c r="G11" s="26" t="s">
        <v>58</v>
      </c>
    </row>
    <row r="12" customFormat="false" ht="15" hidden="false" customHeight="false" outlineLevel="0" collapsed="false">
      <c r="A12" s="22" t="n">
        <v>46119</v>
      </c>
      <c r="B12" s="23" t="s">
        <v>48</v>
      </c>
      <c r="C12" s="24"/>
      <c r="D12" s="25"/>
      <c r="E12" s="10" t="n">
        <f aca="false">IF(WEEKDAY(A12,2)&lt;=5,Übersicht!$B$4,0)</f>
        <v>8</v>
      </c>
      <c r="F12" s="10" t="str">
        <f aca="false">IF(OR(C12="U",C12="K",C12="F",C12="G"),IF(D12="",0,D12),IF(D12="","",D12-E12))</f>
        <v/>
      </c>
      <c r="G12" s="26"/>
    </row>
    <row r="13" customFormat="false" ht="15" hidden="false" customHeight="false" outlineLevel="0" collapsed="false">
      <c r="A13" s="22" t="n">
        <v>46120</v>
      </c>
      <c r="B13" s="23" t="s">
        <v>49</v>
      </c>
      <c r="C13" s="24"/>
      <c r="D13" s="25"/>
      <c r="E13" s="10" t="n">
        <f aca="false">IF(WEEKDAY(A13,2)&lt;=5,Übersicht!$B$4,0)</f>
        <v>8</v>
      </c>
      <c r="F13" s="10" t="str">
        <f aca="false">IF(OR(C13="U",C13="K",C13="F",C13="G"),IF(D13="",0,D13),IF(D13="","",D13-E13))</f>
        <v/>
      </c>
      <c r="G13" s="26"/>
    </row>
    <row r="14" customFormat="false" ht="15" hidden="false" customHeight="false" outlineLevel="0" collapsed="false">
      <c r="A14" s="22" t="n">
        <v>46121</v>
      </c>
      <c r="B14" s="23" t="s">
        <v>50</v>
      </c>
      <c r="C14" s="24"/>
      <c r="D14" s="25"/>
      <c r="E14" s="10" t="n">
        <f aca="false">IF(WEEKDAY(A14,2)&lt;=5,Übersicht!$B$4,0)</f>
        <v>8</v>
      </c>
      <c r="F14" s="10" t="str">
        <f aca="false">IF(OR(C14="U",C14="K",C14="F",C14="G"),IF(D14="",0,D14),IF(D14="","",D14-E14))</f>
        <v/>
      </c>
      <c r="G14" s="26"/>
    </row>
    <row r="15" customFormat="false" ht="15" hidden="false" customHeight="false" outlineLevel="0" collapsed="false">
      <c r="A15" s="22" t="n">
        <v>46122</v>
      </c>
      <c r="B15" s="23" t="s">
        <v>51</v>
      </c>
      <c r="C15" s="24"/>
      <c r="D15" s="25"/>
      <c r="E15" s="10" t="n">
        <f aca="false">IF(WEEKDAY(A15,2)&lt;=5,Übersicht!$B$4,0)</f>
        <v>8</v>
      </c>
      <c r="F15" s="10" t="str">
        <f aca="false">IF(OR(C15="U",C15="K",C15="F",C15="G"),IF(D15="",0,D15),IF(D15="","",D15-E15))</f>
        <v/>
      </c>
      <c r="G15" s="26"/>
    </row>
    <row r="16" customFormat="false" ht="15" hidden="false" customHeight="false" outlineLevel="0" collapsed="false">
      <c r="A16" s="16" t="n">
        <v>46123</v>
      </c>
      <c r="B16" s="17" t="s">
        <v>45</v>
      </c>
      <c r="C16" s="18"/>
      <c r="D16" s="19"/>
      <c r="E16" s="20" t="n">
        <f aca="false">IF(WEEKDAY(A16,2)&lt;=5,Übersicht!$B$4,0)</f>
        <v>0</v>
      </c>
      <c r="F16" s="20" t="str">
        <f aca="false">IF(OR(C16="U",C16="K",C16="F",C16="G"),IF(D16="",0,D16),IF(D16="","",D16-E16))</f>
        <v/>
      </c>
      <c r="G16" s="21"/>
    </row>
    <row r="17" customFormat="false" ht="15" hidden="false" customHeight="false" outlineLevel="0" collapsed="false">
      <c r="A17" s="16" t="n">
        <v>46124</v>
      </c>
      <c r="B17" s="17" t="s">
        <v>46</v>
      </c>
      <c r="C17" s="18"/>
      <c r="D17" s="19"/>
      <c r="E17" s="20" t="n">
        <f aca="false">IF(WEEKDAY(A17,2)&lt;=5,Übersicht!$B$4,0)</f>
        <v>0</v>
      </c>
      <c r="F17" s="20" t="str">
        <f aca="false">IF(OR(C17="U",C17="K",C17="F",C17="G"),IF(D17="",0,D17),IF(D17="","",D17-E17))</f>
        <v/>
      </c>
      <c r="G17" s="21"/>
    </row>
    <row r="18" customFormat="false" ht="15" hidden="false" customHeight="false" outlineLevel="0" collapsed="false">
      <c r="A18" s="22" t="n">
        <v>46125</v>
      </c>
      <c r="B18" s="23" t="s">
        <v>47</v>
      </c>
      <c r="C18" s="24"/>
      <c r="D18" s="25"/>
      <c r="E18" s="10" t="n">
        <f aca="false">IF(WEEKDAY(A18,2)&lt;=5,Übersicht!$B$4,0)</f>
        <v>8</v>
      </c>
      <c r="F18" s="10" t="str">
        <f aca="false">IF(OR(C18="U",C18="K",C18="F",C18="G"),IF(D18="",0,D18),IF(D18="","",D18-E18))</f>
        <v/>
      </c>
      <c r="G18" s="26"/>
    </row>
    <row r="19" customFormat="false" ht="15" hidden="false" customHeight="false" outlineLevel="0" collapsed="false">
      <c r="A19" s="22" t="n">
        <v>46126</v>
      </c>
      <c r="B19" s="23" t="s">
        <v>48</v>
      </c>
      <c r="C19" s="24"/>
      <c r="D19" s="25"/>
      <c r="E19" s="10" t="n">
        <f aca="false">IF(WEEKDAY(A19,2)&lt;=5,Übersicht!$B$4,0)</f>
        <v>8</v>
      </c>
      <c r="F19" s="10" t="str">
        <f aca="false">IF(OR(C19="U",C19="K",C19="F",C19="G"),IF(D19="",0,D19),IF(D19="","",D19-E19))</f>
        <v/>
      </c>
      <c r="G19" s="26"/>
    </row>
    <row r="20" customFormat="false" ht="15" hidden="false" customHeight="false" outlineLevel="0" collapsed="false">
      <c r="A20" s="22" t="n">
        <v>46127</v>
      </c>
      <c r="B20" s="23" t="s">
        <v>49</v>
      </c>
      <c r="C20" s="24"/>
      <c r="D20" s="25"/>
      <c r="E20" s="10" t="n">
        <f aca="false">IF(WEEKDAY(A20,2)&lt;=5,Übersicht!$B$4,0)</f>
        <v>8</v>
      </c>
      <c r="F20" s="10" t="str">
        <f aca="false">IF(OR(C20="U",C20="K",C20="F",C20="G"),IF(D20="",0,D20),IF(D20="","",D20-E20))</f>
        <v/>
      </c>
      <c r="G20" s="26"/>
    </row>
    <row r="21" customFormat="false" ht="15" hidden="false" customHeight="false" outlineLevel="0" collapsed="false">
      <c r="A21" s="22" t="n">
        <v>46128</v>
      </c>
      <c r="B21" s="23" t="s">
        <v>50</v>
      </c>
      <c r="C21" s="24"/>
      <c r="D21" s="25"/>
      <c r="E21" s="10" t="n">
        <f aca="false">IF(WEEKDAY(A21,2)&lt;=5,Übersicht!$B$4,0)</f>
        <v>8</v>
      </c>
      <c r="F21" s="10" t="str">
        <f aca="false">IF(OR(C21="U",C21="K",C21="F",C21="G"),IF(D21="",0,D21),IF(D21="","",D21-E21))</f>
        <v/>
      </c>
      <c r="G21" s="26"/>
    </row>
    <row r="22" customFormat="false" ht="15" hidden="false" customHeight="false" outlineLevel="0" collapsed="false">
      <c r="A22" s="22" t="n">
        <v>46129</v>
      </c>
      <c r="B22" s="23" t="s">
        <v>51</v>
      </c>
      <c r="C22" s="24"/>
      <c r="D22" s="25"/>
      <c r="E22" s="10" t="n">
        <f aca="false">IF(WEEKDAY(A22,2)&lt;=5,Übersicht!$B$4,0)</f>
        <v>8</v>
      </c>
      <c r="F22" s="10" t="str">
        <f aca="false">IF(OR(C22="U",C22="K",C22="F",C22="G"),IF(D22="",0,D22),IF(D22="","",D22-E22))</f>
        <v/>
      </c>
      <c r="G22" s="26"/>
    </row>
    <row r="23" customFormat="false" ht="15" hidden="false" customHeight="false" outlineLevel="0" collapsed="false">
      <c r="A23" s="16" t="n">
        <v>46130</v>
      </c>
      <c r="B23" s="17" t="s">
        <v>45</v>
      </c>
      <c r="C23" s="18"/>
      <c r="D23" s="19"/>
      <c r="E23" s="20" t="n">
        <f aca="false">IF(WEEKDAY(A23,2)&lt;=5,Übersicht!$B$4,0)</f>
        <v>0</v>
      </c>
      <c r="F23" s="20" t="str">
        <f aca="false">IF(OR(C23="U",C23="K",C23="F",C23="G"),IF(D23="",0,D23),IF(D23="","",D23-E23))</f>
        <v/>
      </c>
      <c r="G23" s="21"/>
    </row>
    <row r="24" customFormat="false" ht="15" hidden="false" customHeight="false" outlineLevel="0" collapsed="false">
      <c r="A24" s="16" t="n">
        <v>46131</v>
      </c>
      <c r="B24" s="17" t="s">
        <v>46</v>
      </c>
      <c r="C24" s="18"/>
      <c r="D24" s="19"/>
      <c r="E24" s="20" t="n">
        <f aca="false">IF(WEEKDAY(A24,2)&lt;=5,Übersicht!$B$4,0)</f>
        <v>0</v>
      </c>
      <c r="F24" s="20" t="str">
        <f aca="false">IF(OR(C24="U",C24="K",C24="F",C24="G"),IF(D24="",0,D24),IF(D24="","",D24-E24))</f>
        <v/>
      </c>
      <c r="G24" s="21"/>
    </row>
    <row r="25" customFormat="false" ht="15" hidden="false" customHeight="false" outlineLevel="0" collapsed="false">
      <c r="A25" s="22" t="n">
        <v>46132</v>
      </c>
      <c r="B25" s="23" t="s">
        <v>47</v>
      </c>
      <c r="C25" s="24"/>
      <c r="D25" s="25"/>
      <c r="E25" s="10" t="n">
        <f aca="false">IF(WEEKDAY(A25,2)&lt;=5,Übersicht!$B$4,0)</f>
        <v>8</v>
      </c>
      <c r="F25" s="10" t="str">
        <f aca="false">IF(OR(C25="U",C25="K",C25="F",C25="G"),IF(D25="",0,D25),IF(D25="","",D25-E25))</f>
        <v/>
      </c>
      <c r="G25" s="26"/>
    </row>
    <row r="26" customFormat="false" ht="15" hidden="false" customHeight="false" outlineLevel="0" collapsed="false">
      <c r="A26" s="22" t="n">
        <v>46133</v>
      </c>
      <c r="B26" s="23" t="s">
        <v>48</v>
      </c>
      <c r="C26" s="24"/>
      <c r="D26" s="25"/>
      <c r="E26" s="10" t="n">
        <f aca="false">IF(WEEKDAY(A26,2)&lt;=5,Übersicht!$B$4,0)</f>
        <v>8</v>
      </c>
      <c r="F26" s="10" t="str">
        <f aca="false">IF(OR(C26="U",C26="K",C26="F",C26="G"),IF(D26="",0,D26),IF(D26="","",D26-E26))</f>
        <v/>
      </c>
      <c r="G26" s="26"/>
    </row>
    <row r="27" customFormat="false" ht="15" hidden="false" customHeight="false" outlineLevel="0" collapsed="false">
      <c r="A27" s="22" t="n">
        <v>46134</v>
      </c>
      <c r="B27" s="23" t="s">
        <v>49</v>
      </c>
      <c r="C27" s="24"/>
      <c r="D27" s="25"/>
      <c r="E27" s="10" t="n">
        <f aca="false">IF(WEEKDAY(A27,2)&lt;=5,Übersicht!$B$4,0)</f>
        <v>8</v>
      </c>
      <c r="F27" s="10" t="str">
        <f aca="false">IF(OR(C27="U",C27="K",C27="F",C27="G"),IF(D27="",0,D27),IF(D27="","",D27-E27))</f>
        <v/>
      </c>
      <c r="G27" s="26"/>
    </row>
    <row r="28" customFormat="false" ht="15" hidden="false" customHeight="false" outlineLevel="0" collapsed="false">
      <c r="A28" s="22" t="n">
        <v>46135</v>
      </c>
      <c r="B28" s="23" t="s">
        <v>50</v>
      </c>
      <c r="C28" s="24"/>
      <c r="D28" s="25"/>
      <c r="E28" s="10" t="n">
        <f aca="false">IF(WEEKDAY(A28,2)&lt;=5,Übersicht!$B$4,0)</f>
        <v>8</v>
      </c>
      <c r="F28" s="10" t="str">
        <f aca="false">IF(OR(C28="U",C28="K",C28="F",C28="G"),IF(D28="",0,D28),IF(D28="","",D28-E28))</f>
        <v/>
      </c>
      <c r="G28" s="26"/>
    </row>
    <row r="29" customFormat="false" ht="15" hidden="false" customHeight="false" outlineLevel="0" collapsed="false">
      <c r="A29" s="22" t="n">
        <v>46136</v>
      </c>
      <c r="B29" s="23" t="s">
        <v>51</v>
      </c>
      <c r="C29" s="24"/>
      <c r="D29" s="25"/>
      <c r="E29" s="10" t="n">
        <f aca="false">IF(WEEKDAY(A29,2)&lt;=5,Übersicht!$B$4,0)</f>
        <v>8</v>
      </c>
      <c r="F29" s="10" t="str">
        <f aca="false">IF(OR(C29="U",C29="K",C29="F",C29="G"),IF(D29="",0,D29),IF(D29="","",D29-E29))</f>
        <v/>
      </c>
      <c r="G29" s="26"/>
    </row>
    <row r="30" customFormat="false" ht="15" hidden="false" customHeight="false" outlineLevel="0" collapsed="false">
      <c r="A30" s="16" t="n">
        <v>46137</v>
      </c>
      <c r="B30" s="17" t="s">
        <v>45</v>
      </c>
      <c r="C30" s="18"/>
      <c r="D30" s="19"/>
      <c r="E30" s="20" t="n">
        <f aca="false">IF(WEEKDAY(A30,2)&lt;=5,Übersicht!$B$4,0)</f>
        <v>0</v>
      </c>
      <c r="F30" s="20" t="str">
        <f aca="false">IF(OR(C30="U",C30="K",C30="F",C30="G"),IF(D30="",0,D30),IF(D30="","",D30-E30))</f>
        <v/>
      </c>
      <c r="G30" s="21"/>
    </row>
    <row r="31" customFormat="false" ht="15" hidden="false" customHeight="false" outlineLevel="0" collapsed="false">
      <c r="A31" s="16" t="n">
        <v>46138</v>
      </c>
      <c r="B31" s="17" t="s">
        <v>46</v>
      </c>
      <c r="C31" s="18"/>
      <c r="D31" s="19"/>
      <c r="E31" s="20" t="n">
        <f aca="false">IF(WEEKDAY(A31,2)&lt;=5,Übersicht!$B$4,0)</f>
        <v>0</v>
      </c>
      <c r="F31" s="20" t="str">
        <f aca="false">IF(OR(C31="U",C31="K",C31="F",C31="G"),IF(D31="",0,D31),IF(D31="","",D31-E31))</f>
        <v/>
      </c>
      <c r="G31" s="21"/>
    </row>
    <row r="32" customFormat="false" ht="15" hidden="false" customHeight="false" outlineLevel="0" collapsed="false">
      <c r="A32" s="22" t="n">
        <v>46139</v>
      </c>
      <c r="B32" s="23" t="s">
        <v>47</v>
      </c>
      <c r="C32" s="24"/>
      <c r="D32" s="25"/>
      <c r="E32" s="10" t="n">
        <f aca="false">IF(WEEKDAY(A32,2)&lt;=5,Übersicht!$B$4,0)</f>
        <v>8</v>
      </c>
      <c r="F32" s="10" t="str">
        <f aca="false">IF(OR(C32="U",C32="K",C32="F",C32="G"),IF(D32="",0,D32),IF(D32="","",D32-E32))</f>
        <v/>
      </c>
      <c r="G32" s="26"/>
    </row>
    <row r="33" customFormat="false" ht="15" hidden="false" customHeight="false" outlineLevel="0" collapsed="false">
      <c r="A33" s="22" t="n">
        <v>46140</v>
      </c>
      <c r="B33" s="23" t="s">
        <v>48</v>
      </c>
      <c r="C33" s="24"/>
      <c r="D33" s="25"/>
      <c r="E33" s="10" t="n">
        <f aca="false">IF(WEEKDAY(A33,2)&lt;=5,Übersicht!$B$4,0)</f>
        <v>8</v>
      </c>
      <c r="F33" s="10" t="str">
        <f aca="false">IF(OR(C33="U",C33="K",C33="F",C33="G"),IF(D33="",0,D33),IF(D33="","",D33-E33))</f>
        <v/>
      </c>
      <c r="G33" s="26"/>
    </row>
    <row r="34" customFormat="false" ht="15" hidden="false" customHeight="false" outlineLevel="0" collapsed="false">
      <c r="A34" s="22" t="n">
        <v>46141</v>
      </c>
      <c r="B34" s="23" t="s">
        <v>49</v>
      </c>
      <c r="C34" s="24"/>
      <c r="D34" s="25"/>
      <c r="E34" s="10" t="n">
        <f aca="false">IF(WEEKDAY(A34,2)&lt;=5,Übersicht!$B$4,0)</f>
        <v>8</v>
      </c>
      <c r="F34" s="10" t="str">
        <f aca="false">IF(OR(C34="U",C34="K",C34="F",C34="G"),IF(D34="",0,D34),IF(D34="","",D34-E34))</f>
        <v/>
      </c>
      <c r="G34" s="26"/>
    </row>
    <row r="35" customFormat="false" ht="15" hidden="false" customHeight="false" outlineLevel="0" collapsed="false">
      <c r="A35" s="22" t="n">
        <v>46142</v>
      </c>
      <c r="B35" s="23" t="s">
        <v>50</v>
      </c>
      <c r="C35" s="24"/>
      <c r="D35" s="25"/>
      <c r="E35" s="10" t="n">
        <f aca="false">IF(WEEKDAY(A35,2)&lt;=5,Übersicht!$B$4,0)</f>
        <v>8</v>
      </c>
      <c r="F35" s="10" t="str">
        <f aca="false">IF(OR(C35="U",C35="K",C35="F",C35="G"),IF(D35="",0,D35),IF(D35="","",D35-E35))</f>
        <v/>
      </c>
      <c r="G35" s="26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16</v>
      </c>
      <c r="E38" s="12" t="n">
        <f aca="false">SUM(E6:E36)</f>
        <v>176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22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Übersicht!F30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5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F26" activeCellId="0" sqref="F2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81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22" t="n">
        <v>46143</v>
      </c>
      <c r="B6" s="23" t="s">
        <v>51</v>
      </c>
      <c r="C6" s="24" t="s">
        <v>56</v>
      </c>
      <c r="D6" s="25"/>
      <c r="E6" s="10" t="n">
        <f aca="false">IF(WEEKDAY(A6,2)&lt;=5,Übersicht!$B$4,0)</f>
        <v>8</v>
      </c>
      <c r="F6" s="10" t="n">
        <f aca="false">IF(OR(C6="U",C6="K",C6="F",C6="G"),IF(D6="",0,D6),IF(D6="","",D6-E6))</f>
        <v>0</v>
      </c>
      <c r="G6" s="26" t="s">
        <v>60</v>
      </c>
    </row>
    <row r="7" customFormat="false" ht="15" hidden="false" customHeight="false" outlineLevel="0" collapsed="false">
      <c r="A7" s="16" t="n">
        <v>46144</v>
      </c>
      <c r="B7" s="17" t="s">
        <v>45</v>
      </c>
      <c r="C7" s="18"/>
      <c r="D7" s="19"/>
      <c r="E7" s="20" t="n">
        <f aca="false">IF(WEEKDAY(A7,2)&lt;=5,Übersicht!$B$4,0)</f>
        <v>0</v>
      </c>
      <c r="F7" s="20" t="str">
        <f aca="false">IF(OR(C7="U",C7="K",C7="F",C7="G"),IF(D7="",0,D7),IF(D7="","",D7-E7))</f>
        <v/>
      </c>
      <c r="G7" s="21"/>
    </row>
    <row r="8" customFormat="false" ht="15" hidden="false" customHeight="false" outlineLevel="0" collapsed="false">
      <c r="A8" s="16" t="n">
        <v>46145</v>
      </c>
      <c r="B8" s="17" t="s">
        <v>46</v>
      </c>
      <c r="C8" s="18"/>
      <c r="D8" s="19"/>
      <c r="E8" s="20" t="n">
        <f aca="false">IF(WEEKDAY(A8,2)&lt;=5,Übersicht!$B$4,0)</f>
        <v>0</v>
      </c>
      <c r="F8" s="20" t="str">
        <f aca="false">IF(OR(C8="U",C8="K",C8="F",C8="G"),IF(D8="",0,D8),IF(D8="","",D8-E8))</f>
        <v/>
      </c>
      <c r="G8" s="21"/>
    </row>
    <row r="9" customFormat="false" ht="15" hidden="false" customHeight="false" outlineLevel="0" collapsed="false">
      <c r="A9" s="22" t="n">
        <v>46146</v>
      </c>
      <c r="B9" s="23" t="s">
        <v>47</v>
      </c>
      <c r="C9" s="24"/>
      <c r="D9" s="25"/>
      <c r="E9" s="10" t="n">
        <f aca="false">IF(WEEKDAY(A9,2)&lt;=5,Übersicht!$B$4,0)</f>
        <v>8</v>
      </c>
      <c r="F9" s="10" t="str">
        <f aca="false">IF(OR(C9="U",C9="K",C9="F",C9="G"),IF(D9="",0,D9),IF(D9="","",D9-E9))</f>
        <v/>
      </c>
      <c r="G9" s="26"/>
    </row>
    <row r="10" customFormat="false" ht="15" hidden="false" customHeight="false" outlineLevel="0" collapsed="false">
      <c r="A10" s="22" t="n">
        <v>46147</v>
      </c>
      <c r="B10" s="23" t="s">
        <v>48</v>
      </c>
      <c r="C10" s="24"/>
      <c r="D10" s="25"/>
      <c r="E10" s="10" t="n">
        <f aca="false">IF(WEEKDAY(A10,2)&lt;=5,Übersicht!$B$4,0)</f>
        <v>8</v>
      </c>
      <c r="F10" s="10" t="str">
        <f aca="false">IF(OR(C10="U",C10="K",C10="F",C10="G"),IF(D10="",0,D10),IF(D10="","",D10-E10))</f>
        <v/>
      </c>
      <c r="G10" s="26"/>
    </row>
    <row r="11" customFormat="false" ht="15" hidden="false" customHeight="false" outlineLevel="0" collapsed="false">
      <c r="A11" s="22" t="n">
        <v>46148</v>
      </c>
      <c r="B11" s="23" t="s">
        <v>49</v>
      </c>
      <c r="C11" s="24"/>
      <c r="D11" s="25"/>
      <c r="E11" s="10" t="n">
        <f aca="false">IF(WEEKDAY(A11,2)&lt;=5,Übersicht!$B$4,0)</f>
        <v>8</v>
      </c>
      <c r="F11" s="10" t="str">
        <f aca="false">IF(OR(C11="U",C11="K",C11="F",C11="G"),IF(D11="",0,D11),IF(D11="","",D11-E11))</f>
        <v/>
      </c>
      <c r="G11" s="26"/>
    </row>
    <row r="12" customFormat="false" ht="15" hidden="false" customHeight="false" outlineLevel="0" collapsed="false">
      <c r="A12" s="22" t="n">
        <v>46149</v>
      </c>
      <c r="B12" s="23" t="s">
        <v>50</v>
      </c>
      <c r="C12" s="24"/>
      <c r="D12" s="25"/>
      <c r="E12" s="10" t="n">
        <f aca="false">IF(WEEKDAY(A12,2)&lt;=5,Übersicht!$B$4,0)</f>
        <v>8</v>
      </c>
      <c r="F12" s="10" t="str">
        <f aca="false">IF(OR(C12="U",C12="K",C12="F",C12="G"),IF(D12="",0,D12),IF(D12="","",D12-E12))</f>
        <v/>
      </c>
      <c r="G12" s="26"/>
    </row>
    <row r="13" customFormat="false" ht="15" hidden="false" customHeight="false" outlineLevel="0" collapsed="false">
      <c r="A13" s="22" t="n">
        <v>46150</v>
      </c>
      <c r="B13" s="23" t="s">
        <v>51</v>
      </c>
      <c r="C13" s="24"/>
      <c r="D13" s="25"/>
      <c r="E13" s="10" t="n">
        <f aca="false">IF(WEEKDAY(A13,2)&lt;=5,Übersicht!$B$4,0)</f>
        <v>8</v>
      </c>
      <c r="F13" s="10" t="str">
        <f aca="false">IF(OR(C13="U",C13="K",C13="F",C13="G"),IF(D13="",0,D13),IF(D13="","",D13-E13))</f>
        <v/>
      </c>
      <c r="G13" s="26"/>
    </row>
    <row r="14" customFormat="false" ht="15" hidden="false" customHeight="false" outlineLevel="0" collapsed="false">
      <c r="A14" s="16" t="n">
        <v>46151</v>
      </c>
      <c r="B14" s="17" t="s">
        <v>45</v>
      </c>
      <c r="C14" s="18"/>
      <c r="D14" s="19"/>
      <c r="E14" s="20" t="n">
        <f aca="false">IF(WEEKDAY(A14,2)&lt;=5,Übersicht!$B$4,0)</f>
        <v>0</v>
      </c>
      <c r="F14" s="20" t="str">
        <f aca="false">IF(OR(C14="U",C14="K",C14="F",C14="G"),IF(D14="",0,D14),IF(D14="","",D14-E14))</f>
        <v/>
      </c>
      <c r="G14" s="21"/>
    </row>
    <row r="15" customFormat="false" ht="15" hidden="false" customHeight="false" outlineLevel="0" collapsed="false">
      <c r="A15" s="16" t="n">
        <v>46152</v>
      </c>
      <c r="B15" s="17" t="s">
        <v>46</v>
      </c>
      <c r="C15" s="18"/>
      <c r="D15" s="19"/>
      <c r="E15" s="20" t="n">
        <f aca="false">IF(WEEKDAY(A15,2)&lt;=5,Übersicht!$B$4,0)</f>
        <v>0</v>
      </c>
      <c r="F15" s="20" t="str">
        <f aca="false">IF(OR(C15="U",C15="K",C15="F",C15="G"),IF(D15="",0,D15),IF(D15="","",D15-E15))</f>
        <v/>
      </c>
      <c r="G15" s="21"/>
    </row>
    <row r="16" customFormat="false" ht="15" hidden="false" customHeight="false" outlineLevel="0" collapsed="false">
      <c r="A16" s="22" t="n">
        <v>46153</v>
      </c>
      <c r="B16" s="23" t="s">
        <v>47</v>
      </c>
      <c r="C16" s="24"/>
      <c r="D16" s="25"/>
      <c r="E16" s="10" t="n">
        <f aca="false">IF(WEEKDAY(A16,2)&lt;=5,Übersicht!$B$4,0)</f>
        <v>8</v>
      </c>
      <c r="F16" s="10" t="str">
        <f aca="false">IF(OR(C16="U",C16="K",C16="F",C16="G"),IF(D16="",0,D16),IF(D16="","",D16-E16))</f>
        <v/>
      </c>
      <c r="G16" s="26"/>
    </row>
    <row r="17" customFormat="false" ht="15" hidden="false" customHeight="false" outlineLevel="0" collapsed="false">
      <c r="A17" s="22" t="n">
        <v>46154</v>
      </c>
      <c r="B17" s="23" t="s">
        <v>48</v>
      </c>
      <c r="C17" s="24"/>
      <c r="D17" s="25"/>
      <c r="E17" s="10" t="n">
        <f aca="false">IF(WEEKDAY(A17,2)&lt;=5,Übersicht!$B$4,0)</f>
        <v>8</v>
      </c>
      <c r="F17" s="10" t="str">
        <f aca="false">IF(OR(C17="U",C17="K",C17="F",C17="G"),IF(D17="",0,D17),IF(D17="","",D17-E17))</f>
        <v/>
      </c>
      <c r="G17" s="26"/>
    </row>
    <row r="18" customFormat="false" ht="15" hidden="false" customHeight="false" outlineLevel="0" collapsed="false">
      <c r="A18" s="22" t="n">
        <v>46155</v>
      </c>
      <c r="B18" s="23" t="s">
        <v>49</v>
      </c>
      <c r="C18" s="24"/>
      <c r="D18" s="25"/>
      <c r="E18" s="10" t="n">
        <f aca="false">IF(WEEKDAY(A18,2)&lt;=5,Übersicht!$B$4,0)</f>
        <v>8</v>
      </c>
      <c r="F18" s="10" t="str">
        <f aca="false">IF(OR(C18="U",C18="K",C18="F",C18="G"),IF(D18="",0,D18),IF(D18="","",D18-E18))</f>
        <v/>
      </c>
      <c r="G18" s="26"/>
    </row>
    <row r="19" customFormat="false" ht="15" hidden="false" customHeight="false" outlineLevel="0" collapsed="false">
      <c r="A19" s="22" t="n">
        <v>46156</v>
      </c>
      <c r="B19" s="23" t="s">
        <v>50</v>
      </c>
      <c r="C19" s="24" t="s">
        <v>56</v>
      </c>
      <c r="D19" s="25"/>
      <c r="E19" s="10" t="n">
        <f aca="false">IF(WEEKDAY(A19,2)&lt;=5,Übersicht!$B$4,0)</f>
        <v>8</v>
      </c>
      <c r="F19" s="10" t="n">
        <f aca="false">IF(OR(C19="U",C19="K",C19="F",C19="G"),IF(D19="",0,D19),IF(D19="","",D19-E19))</f>
        <v>0</v>
      </c>
      <c r="G19" s="26" t="s">
        <v>61</v>
      </c>
    </row>
    <row r="20" customFormat="false" ht="15" hidden="false" customHeight="false" outlineLevel="0" collapsed="false">
      <c r="A20" s="22" t="n">
        <v>46157</v>
      </c>
      <c r="B20" s="23" t="s">
        <v>51</v>
      </c>
      <c r="C20" s="24"/>
      <c r="D20" s="25"/>
      <c r="E20" s="10" t="n">
        <f aca="false">IF(WEEKDAY(A20,2)&lt;=5,Übersicht!$B$4,0)</f>
        <v>8</v>
      </c>
      <c r="F20" s="10" t="str">
        <f aca="false">IF(OR(C20="U",C20="K",C20="F",C20="G"),IF(D20="",0,D20),IF(D20="","",D20-E20))</f>
        <v/>
      </c>
      <c r="G20" s="26"/>
    </row>
    <row r="21" customFormat="false" ht="15" hidden="false" customHeight="false" outlineLevel="0" collapsed="false">
      <c r="A21" s="16" t="n">
        <v>46158</v>
      </c>
      <c r="B21" s="17" t="s">
        <v>45</v>
      </c>
      <c r="C21" s="18"/>
      <c r="D21" s="19"/>
      <c r="E21" s="20" t="n">
        <f aca="false">IF(WEEKDAY(A21,2)&lt;=5,Übersicht!$B$4,0)</f>
        <v>0</v>
      </c>
      <c r="F21" s="20" t="str">
        <f aca="false">IF(OR(C21="U",C21="K",C21="F",C21="G"),IF(D21="",0,D21),IF(D21="","",D21-E21))</f>
        <v/>
      </c>
      <c r="G21" s="21"/>
    </row>
    <row r="22" customFormat="false" ht="15" hidden="false" customHeight="false" outlineLevel="0" collapsed="false">
      <c r="A22" s="16" t="n">
        <v>46159</v>
      </c>
      <c r="B22" s="17" t="s">
        <v>46</v>
      </c>
      <c r="C22" s="18"/>
      <c r="D22" s="19"/>
      <c r="E22" s="20" t="n">
        <f aca="false">IF(WEEKDAY(A22,2)&lt;=5,Übersicht!$B$4,0)</f>
        <v>0</v>
      </c>
      <c r="F22" s="20" t="str">
        <f aca="false">IF(OR(C22="U",C22="K",C22="F",C22="G"),IF(D22="",0,D22),IF(D22="","",D22-E22))</f>
        <v/>
      </c>
      <c r="G22" s="21"/>
    </row>
    <row r="23" customFormat="false" ht="15" hidden="false" customHeight="false" outlineLevel="0" collapsed="false">
      <c r="A23" s="22" t="n">
        <v>46160</v>
      </c>
      <c r="B23" s="23" t="s">
        <v>47</v>
      </c>
      <c r="C23" s="24"/>
      <c r="D23" s="25"/>
      <c r="E23" s="10" t="n">
        <f aca="false">IF(WEEKDAY(A23,2)&lt;=5,Übersicht!$B$4,0)</f>
        <v>8</v>
      </c>
      <c r="F23" s="10" t="str">
        <f aca="false">IF(OR(C23="U",C23="K",C23="F",C23="G"),IF(D23="",0,D23),IF(D23="","",D23-E23))</f>
        <v/>
      </c>
      <c r="G23" s="26"/>
    </row>
    <row r="24" customFormat="false" ht="15" hidden="false" customHeight="false" outlineLevel="0" collapsed="false">
      <c r="A24" s="22" t="n">
        <v>46161</v>
      </c>
      <c r="B24" s="23" t="s">
        <v>48</v>
      </c>
      <c r="C24" s="24"/>
      <c r="D24" s="25"/>
      <c r="E24" s="10" t="n">
        <f aca="false">IF(WEEKDAY(A24,2)&lt;=5,Übersicht!$B$4,0)</f>
        <v>8</v>
      </c>
      <c r="F24" s="10" t="str">
        <f aca="false">IF(OR(C24="U",C24="K",C24="F",C24="G"),IF(D24="",0,D24),IF(D24="","",D24-E24))</f>
        <v/>
      </c>
      <c r="G24" s="26"/>
    </row>
    <row r="25" customFormat="false" ht="15" hidden="false" customHeight="false" outlineLevel="0" collapsed="false">
      <c r="A25" s="22" t="n">
        <v>46162</v>
      </c>
      <c r="B25" s="23" t="s">
        <v>49</v>
      </c>
      <c r="C25" s="24"/>
      <c r="D25" s="25"/>
      <c r="E25" s="10" t="n">
        <f aca="false">IF(WEEKDAY(A25,2)&lt;=5,Übersicht!$B$4,0)</f>
        <v>8</v>
      </c>
      <c r="F25" s="10" t="str">
        <f aca="false">IF(OR(C25="U",C25="K",C25="F",C25="G"),IF(D25="",0,D25),IF(D25="","",D25-E25))</f>
        <v/>
      </c>
      <c r="G25" s="26"/>
    </row>
    <row r="26" customFormat="false" ht="15" hidden="false" customHeight="false" outlineLevel="0" collapsed="false">
      <c r="A26" s="22" t="n">
        <v>46163</v>
      </c>
      <c r="B26" s="23" t="s">
        <v>50</v>
      </c>
      <c r="C26" s="24"/>
      <c r="D26" s="25"/>
      <c r="E26" s="10" t="n">
        <f aca="false">IF(WEEKDAY(A26,2)&lt;=5,Übersicht!$B$4,0)</f>
        <v>8</v>
      </c>
      <c r="F26" s="10" t="str">
        <f aca="false">IF(OR(C26="U",C26="K",C26="F",C26="G"),IF(D26="",0,D26),IF(D26="","",D26-E26))</f>
        <v/>
      </c>
      <c r="G26" s="26"/>
    </row>
    <row r="27" customFormat="false" ht="15" hidden="false" customHeight="false" outlineLevel="0" collapsed="false">
      <c r="A27" s="22" t="n">
        <v>46164</v>
      </c>
      <c r="B27" s="23" t="s">
        <v>51</v>
      </c>
      <c r="C27" s="24"/>
      <c r="D27" s="25"/>
      <c r="E27" s="10" t="n">
        <f aca="false">IF(WEEKDAY(A27,2)&lt;=5,Übersicht!$B$4,0)</f>
        <v>8</v>
      </c>
      <c r="F27" s="10" t="str">
        <f aca="false">IF(OR(C27="U",C27="K",C27="F",C27="G"),IF(D27="",0,D27),IF(D27="","",D27-E27))</f>
        <v/>
      </c>
      <c r="G27" s="26"/>
    </row>
    <row r="28" customFormat="false" ht="15" hidden="false" customHeight="false" outlineLevel="0" collapsed="false">
      <c r="A28" s="16" t="n">
        <v>46165</v>
      </c>
      <c r="B28" s="17" t="s">
        <v>45</v>
      </c>
      <c r="C28" s="18"/>
      <c r="D28" s="19"/>
      <c r="E28" s="20" t="n">
        <f aca="false">IF(WEEKDAY(A28,2)&lt;=5,Übersicht!$B$4,0)</f>
        <v>0</v>
      </c>
      <c r="F28" s="20" t="str">
        <f aca="false">IF(OR(C28="U",C28="K",C28="F",C28="G"),IF(D28="",0,D28),IF(D28="","",D28-E28))</f>
        <v/>
      </c>
      <c r="G28" s="21"/>
    </row>
    <row r="29" customFormat="false" ht="15" hidden="false" customHeight="false" outlineLevel="0" collapsed="false">
      <c r="A29" s="16" t="n">
        <v>46166</v>
      </c>
      <c r="B29" s="17" t="s">
        <v>46</v>
      </c>
      <c r="C29" s="18"/>
      <c r="D29" s="19"/>
      <c r="E29" s="20" t="n">
        <f aca="false">IF(WEEKDAY(A29,2)&lt;=5,Übersicht!$B$4,0)</f>
        <v>0</v>
      </c>
      <c r="F29" s="20" t="str">
        <f aca="false">IF(OR(C29="U",C29="K",C29="F",C29="G"),IF(D29="",0,D29),IF(D29="","",D29-E29))</f>
        <v/>
      </c>
      <c r="G29" s="21"/>
    </row>
    <row r="30" customFormat="false" ht="15" hidden="false" customHeight="false" outlineLevel="0" collapsed="false">
      <c r="A30" s="22" t="n">
        <v>46167</v>
      </c>
      <c r="B30" s="23" t="s">
        <v>47</v>
      </c>
      <c r="C30" s="24" t="s">
        <v>56</v>
      </c>
      <c r="D30" s="25"/>
      <c r="E30" s="10" t="n">
        <f aca="false">IF(WEEKDAY(A30,2)&lt;=5,Übersicht!$B$4,0)</f>
        <v>8</v>
      </c>
      <c r="F30" s="10" t="n">
        <f aca="false">IF(OR(C30="U",C30="K",C30="F",C30="G"),IF(D30="",0,D30),IF(D30="","",D30-E30))</f>
        <v>0</v>
      </c>
      <c r="G30" s="26" t="s">
        <v>63</v>
      </c>
    </row>
    <row r="31" customFormat="false" ht="15" hidden="false" customHeight="false" outlineLevel="0" collapsed="false">
      <c r="A31" s="22" t="n">
        <v>46168</v>
      </c>
      <c r="B31" s="23" t="s">
        <v>48</v>
      </c>
      <c r="C31" s="24"/>
      <c r="D31" s="25"/>
      <c r="E31" s="10" t="n">
        <f aca="false">IF(WEEKDAY(A31,2)&lt;=5,Übersicht!$B$4,0)</f>
        <v>8</v>
      </c>
      <c r="F31" s="10" t="str">
        <f aca="false">IF(OR(C31="U",C31="K",C31="F",C31="G"),IF(D31="",0,D31),IF(D31="","",D31-E31))</f>
        <v/>
      </c>
      <c r="G31" s="26"/>
    </row>
    <row r="32" customFormat="false" ht="15" hidden="false" customHeight="false" outlineLevel="0" collapsed="false">
      <c r="A32" s="22" t="n">
        <v>46169</v>
      </c>
      <c r="B32" s="23" t="s">
        <v>49</v>
      </c>
      <c r="C32" s="24"/>
      <c r="D32" s="25"/>
      <c r="E32" s="10" t="n">
        <f aca="false">IF(WEEKDAY(A32,2)&lt;=5,Übersicht!$B$4,0)</f>
        <v>8</v>
      </c>
      <c r="F32" s="10" t="str">
        <f aca="false">IF(OR(C32="U",C32="K",C32="F",C32="G"),IF(D32="",0,D32),IF(D32="","",D32-E32))</f>
        <v/>
      </c>
      <c r="G32" s="26"/>
    </row>
    <row r="33" customFormat="false" ht="15" hidden="false" customHeight="false" outlineLevel="0" collapsed="false">
      <c r="A33" s="22" t="n">
        <v>46170</v>
      </c>
      <c r="B33" s="23" t="s">
        <v>50</v>
      </c>
      <c r="C33" s="24"/>
      <c r="D33" s="25"/>
      <c r="E33" s="10" t="n">
        <f aca="false">IF(WEEKDAY(A33,2)&lt;=5,Übersicht!$B$4,0)</f>
        <v>8</v>
      </c>
      <c r="F33" s="10" t="str">
        <f aca="false">IF(OR(C33="U",C33="K",C33="F",C33="G"),IF(D33="",0,D33),IF(D33="","",D33-E33))</f>
        <v/>
      </c>
      <c r="G33" s="26"/>
    </row>
    <row r="34" customFormat="false" ht="15" hidden="false" customHeight="false" outlineLevel="0" collapsed="false">
      <c r="A34" s="22" t="n">
        <v>46171</v>
      </c>
      <c r="B34" s="23" t="s">
        <v>51</v>
      </c>
      <c r="C34" s="24"/>
      <c r="D34" s="25"/>
      <c r="E34" s="10" t="n">
        <f aca="false">IF(WEEKDAY(A34,2)&lt;=5,Übersicht!$B$4,0)</f>
        <v>8</v>
      </c>
      <c r="F34" s="10" t="str">
        <f aca="false">IF(OR(C34="U",C34="K",C34="F",C34="G"),IF(D34="",0,D34),IF(D34="","",D34-E34))</f>
        <v/>
      </c>
      <c r="G34" s="26"/>
    </row>
    <row r="35" customFormat="false" ht="15" hidden="false" customHeight="false" outlineLevel="0" collapsed="false">
      <c r="A35" s="16" t="n">
        <v>46172</v>
      </c>
      <c r="B35" s="17" t="s">
        <v>45</v>
      </c>
      <c r="C35" s="18"/>
      <c r="D35" s="19"/>
      <c r="E35" s="20" t="n">
        <f aca="false">IF(WEEKDAY(A35,2)&lt;=5,Übersicht!$B$4,0)</f>
        <v>0</v>
      </c>
      <c r="F35" s="20" t="str">
        <f aca="false">IF(OR(C35="U",C35="K",C35="F",C35="G"),IF(D35="",0,D35),IF(D35="","",D35-E35))</f>
        <v/>
      </c>
      <c r="G35" s="21"/>
    </row>
    <row r="36" customFormat="false" ht="15" hidden="false" customHeight="false" outlineLevel="0" collapsed="false">
      <c r="A36" s="16" t="n">
        <v>46173</v>
      </c>
      <c r="B36" s="17" t="s">
        <v>46</v>
      </c>
      <c r="C36" s="18"/>
      <c r="D36" s="19"/>
      <c r="E36" s="20" t="n">
        <f aca="false">IF(WEEKDAY(A36,2)&lt;=5,Übersicht!$B$4,0)</f>
        <v>0</v>
      </c>
      <c r="F36" s="20" t="str">
        <f aca="false">IF(OR(C36="U",C36="K",C36="F",C36="G"),IF(D36="",0,D36),IF(D36="","",D36-E36))</f>
        <v/>
      </c>
      <c r="G36" s="21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24</v>
      </c>
      <c r="E38" s="12" t="n">
        <f aca="false">SUM(E6:E36)</f>
        <v>168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21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Übersicht!F31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6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G14" activeCellId="0" sqref="G1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82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22" t="n">
        <v>46174</v>
      </c>
      <c r="B6" s="23" t="s">
        <v>47</v>
      </c>
      <c r="C6" s="24"/>
      <c r="D6" s="25"/>
      <c r="E6" s="10" t="n">
        <f aca="false">IF(WEEKDAY(A6,2)&lt;=5,Übersicht!$B$4,0)</f>
        <v>8</v>
      </c>
      <c r="F6" s="10" t="str">
        <f aca="false">IF(OR(C6="U",C6="K",C6="F",C6="G"),IF(D6="",0,D6),IF(D6="","",D6-E6))</f>
        <v/>
      </c>
      <c r="G6" s="26"/>
    </row>
    <row r="7" customFormat="false" ht="15" hidden="false" customHeight="false" outlineLevel="0" collapsed="false">
      <c r="A7" s="22" t="n">
        <v>46175</v>
      </c>
      <c r="B7" s="23" t="s">
        <v>48</v>
      </c>
      <c r="C7" s="24"/>
      <c r="D7" s="25"/>
      <c r="E7" s="10" t="n">
        <f aca="false">IF(WEEKDAY(A7,2)&lt;=5,Übersicht!$B$4,0)</f>
        <v>8</v>
      </c>
      <c r="F7" s="10" t="str">
        <f aca="false">IF(OR(C7="U",C7="K",C7="F",C7="G"),IF(D7="",0,D7),IF(D7="","",D7-E7))</f>
        <v/>
      </c>
      <c r="G7" s="26"/>
    </row>
    <row r="8" customFormat="false" ht="15" hidden="false" customHeight="false" outlineLevel="0" collapsed="false">
      <c r="A8" s="22" t="n">
        <v>46176</v>
      </c>
      <c r="B8" s="23" t="s">
        <v>49</v>
      </c>
      <c r="C8" s="24"/>
      <c r="D8" s="25"/>
      <c r="E8" s="10" t="n">
        <f aca="false">IF(WEEKDAY(A8,2)&lt;=5,Übersicht!$B$4,0)</f>
        <v>8</v>
      </c>
      <c r="F8" s="10" t="str">
        <f aca="false">IF(OR(C8="U",C8="K",C8="F",C8="G"),IF(D8="",0,D8),IF(D8="","",D8-E8))</f>
        <v/>
      </c>
      <c r="G8" s="26"/>
    </row>
    <row r="9" customFormat="false" ht="15" hidden="false" customHeight="false" outlineLevel="0" collapsed="false">
      <c r="A9" s="22" t="n">
        <v>46177</v>
      </c>
      <c r="B9" s="23" t="s">
        <v>50</v>
      </c>
      <c r="C9" s="24" t="s">
        <v>56</v>
      </c>
      <c r="D9" s="25"/>
      <c r="E9" s="10" t="n">
        <f aca="false">IF(WEEKDAY(A9,2)&lt;=5,Übersicht!$B$4,0)</f>
        <v>8</v>
      </c>
      <c r="F9" s="10" t="n">
        <f aca="false">IF(OR(C9="U",C9="K",C9="F",C9="G"),IF(D9="",0,D9),IF(D9="","",D9-E9))</f>
        <v>0</v>
      </c>
      <c r="G9" s="26" t="s">
        <v>64</v>
      </c>
    </row>
    <row r="10" customFormat="false" ht="15" hidden="false" customHeight="false" outlineLevel="0" collapsed="false">
      <c r="A10" s="22" t="n">
        <v>46178</v>
      </c>
      <c r="B10" s="23" t="s">
        <v>51</v>
      </c>
      <c r="C10" s="24"/>
      <c r="D10" s="25"/>
      <c r="E10" s="10" t="n">
        <f aca="false">IF(WEEKDAY(A10,2)&lt;=5,Übersicht!$B$4,0)</f>
        <v>8</v>
      </c>
      <c r="F10" s="10" t="str">
        <f aca="false">IF(OR(C10="U",C10="K",C10="F",C10="G"),IF(D10="",0,D10),IF(D10="","",D10-E10))</f>
        <v/>
      </c>
      <c r="G10" s="26"/>
    </row>
    <row r="11" customFormat="false" ht="15" hidden="false" customHeight="false" outlineLevel="0" collapsed="false">
      <c r="A11" s="16" t="n">
        <v>46179</v>
      </c>
      <c r="B11" s="17" t="s">
        <v>45</v>
      </c>
      <c r="C11" s="18"/>
      <c r="D11" s="19"/>
      <c r="E11" s="20" t="n">
        <f aca="false">IF(WEEKDAY(A11,2)&lt;=5,Übersicht!$B$4,0)</f>
        <v>0</v>
      </c>
      <c r="F11" s="20" t="str">
        <f aca="false">IF(OR(C11="U",C11="K",C11="F",C11="G"),IF(D11="",0,D11),IF(D11="","",D11-E11))</f>
        <v/>
      </c>
      <c r="G11" s="21"/>
    </row>
    <row r="12" customFormat="false" ht="15" hidden="false" customHeight="false" outlineLevel="0" collapsed="false">
      <c r="A12" s="16" t="n">
        <v>46180</v>
      </c>
      <c r="B12" s="17" t="s">
        <v>46</v>
      </c>
      <c r="C12" s="18"/>
      <c r="D12" s="19"/>
      <c r="E12" s="20" t="n">
        <f aca="false">IF(WEEKDAY(A12,2)&lt;=5,Übersicht!$B$4,0)</f>
        <v>0</v>
      </c>
      <c r="F12" s="20" t="str">
        <f aca="false">IF(OR(C12="U",C12="K",C12="F",C12="G"),IF(D12="",0,D12),IF(D12="","",D12-E12))</f>
        <v/>
      </c>
      <c r="G12" s="21"/>
    </row>
    <row r="13" customFormat="false" ht="15" hidden="false" customHeight="false" outlineLevel="0" collapsed="false">
      <c r="A13" s="22" t="n">
        <v>46181</v>
      </c>
      <c r="B13" s="23" t="s">
        <v>47</v>
      </c>
      <c r="C13" s="24"/>
      <c r="D13" s="25"/>
      <c r="E13" s="10" t="n">
        <f aca="false">IF(WEEKDAY(A13,2)&lt;=5,Übersicht!$B$4,0)</f>
        <v>8</v>
      </c>
      <c r="F13" s="10" t="str">
        <f aca="false">IF(OR(C13="U",C13="K",C13="F",C13="G"),IF(D13="",0,D13),IF(D13="","",D13-E13))</f>
        <v/>
      </c>
      <c r="G13" s="26"/>
    </row>
    <row r="14" customFormat="false" ht="15" hidden="false" customHeight="false" outlineLevel="0" collapsed="false">
      <c r="A14" s="22" t="n">
        <v>46182</v>
      </c>
      <c r="B14" s="23" t="s">
        <v>48</v>
      </c>
      <c r="C14" s="24"/>
      <c r="D14" s="25"/>
      <c r="E14" s="10" t="n">
        <f aca="false">IF(WEEKDAY(A14,2)&lt;=5,Übersicht!$B$4,0)</f>
        <v>8</v>
      </c>
      <c r="F14" s="10" t="str">
        <f aca="false">IF(OR(C14="U",C14="K",C14="F",C14="G"),IF(D14="",0,D14),IF(D14="","",D14-E14))</f>
        <v/>
      </c>
      <c r="G14" s="26"/>
    </row>
    <row r="15" customFormat="false" ht="15" hidden="false" customHeight="false" outlineLevel="0" collapsed="false">
      <c r="A15" s="22" t="n">
        <v>46183</v>
      </c>
      <c r="B15" s="23" t="s">
        <v>49</v>
      </c>
      <c r="C15" s="24"/>
      <c r="D15" s="25"/>
      <c r="E15" s="10" t="n">
        <f aca="false">IF(WEEKDAY(A15,2)&lt;=5,Übersicht!$B$4,0)</f>
        <v>8</v>
      </c>
      <c r="F15" s="10" t="str">
        <f aca="false">IF(OR(C15="U",C15="K",C15="F",C15="G"),IF(D15="",0,D15),IF(D15="","",D15-E15))</f>
        <v/>
      </c>
      <c r="G15" s="26"/>
    </row>
    <row r="16" customFormat="false" ht="15" hidden="false" customHeight="false" outlineLevel="0" collapsed="false">
      <c r="A16" s="22" t="n">
        <v>46184</v>
      </c>
      <c r="B16" s="23" t="s">
        <v>50</v>
      </c>
      <c r="C16" s="24"/>
      <c r="D16" s="25"/>
      <c r="E16" s="10" t="n">
        <f aca="false">IF(WEEKDAY(A16,2)&lt;=5,Übersicht!$B$4,0)</f>
        <v>8</v>
      </c>
      <c r="F16" s="10" t="str">
        <f aca="false">IF(OR(C16="U",C16="K",C16="F",C16="G"),IF(D16="",0,D16),IF(D16="","",D16-E16))</f>
        <v/>
      </c>
      <c r="G16" s="26"/>
    </row>
    <row r="17" customFormat="false" ht="15" hidden="false" customHeight="false" outlineLevel="0" collapsed="false">
      <c r="A17" s="22" t="n">
        <v>46185</v>
      </c>
      <c r="B17" s="23" t="s">
        <v>51</v>
      </c>
      <c r="C17" s="24"/>
      <c r="D17" s="25"/>
      <c r="E17" s="10" t="n">
        <f aca="false">IF(WEEKDAY(A17,2)&lt;=5,Übersicht!$B$4,0)</f>
        <v>8</v>
      </c>
      <c r="F17" s="10" t="str">
        <f aca="false">IF(OR(C17="U",C17="K",C17="F",C17="G"),IF(D17="",0,D17),IF(D17="","",D17-E17))</f>
        <v/>
      </c>
      <c r="G17" s="26"/>
    </row>
    <row r="18" customFormat="false" ht="15" hidden="false" customHeight="false" outlineLevel="0" collapsed="false">
      <c r="A18" s="16" t="n">
        <v>46186</v>
      </c>
      <c r="B18" s="17" t="s">
        <v>45</v>
      </c>
      <c r="C18" s="18"/>
      <c r="D18" s="19"/>
      <c r="E18" s="20" t="n">
        <f aca="false">IF(WEEKDAY(A18,2)&lt;=5,Übersicht!$B$4,0)</f>
        <v>0</v>
      </c>
      <c r="F18" s="20" t="str">
        <f aca="false">IF(OR(C18="U",C18="K",C18="F",C18="G"),IF(D18="",0,D18),IF(D18="","",D18-E18))</f>
        <v/>
      </c>
      <c r="G18" s="21"/>
    </row>
    <row r="19" customFormat="false" ht="15" hidden="false" customHeight="false" outlineLevel="0" collapsed="false">
      <c r="A19" s="16" t="n">
        <v>46187</v>
      </c>
      <c r="B19" s="17" t="s">
        <v>46</v>
      </c>
      <c r="C19" s="18"/>
      <c r="D19" s="19"/>
      <c r="E19" s="20" t="n">
        <f aca="false">IF(WEEKDAY(A19,2)&lt;=5,Übersicht!$B$4,0)</f>
        <v>0</v>
      </c>
      <c r="F19" s="20" t="str">
        <f aca="false">IF(OR(C19="U",C19="K",C19="F",C19="G"),IF(D19="",0,D19),IF(D19="","",D19-E19))</f>
        <v/>
      </c>
      <c r="G19" s="21"/>
    </row>
    <row r="20" customFormat="false" ht="15" hidden="false" customHeight="false" outlineLevel="0" collapsed="false">
      <c r="A20" s="22" t="n">
        <v>46188</v>
      </c>
      <c r="B20" s="23" t="s">
        <v>47</v>
      </c>
      <c r="C20" s="24"/>
      <c r="D20" s="25"/>
      <c r="E20" s="10" t="n">
        <f aca="false">IF(WEEKDAY(A20,2)&lt;=5,Übersicht!$B$4,0)</f>
        <v>8</v>
      </c>
      <c r="F20" s="10" t="str">
        <f aca="false">IF(OR(C20="U",C20="K",C20="F",C20="G"),IF(D20="",0,D20),IF(D20="","",D20-E20))</f>
        <v/>
      </c>
      <c r="G20" s="26"/>
    </row>
    <row r="21" customFormat="false" ht="15" hidden="false" customHeight="false" outlineLevel="0" collapsed="false">
      <c r="A21" s="22" t="n">
        <v>46189</v>
      </c>
      <c r="B21" s="23" t="s">
        <v>48</v>
      </c>
      <c r="C21" s="24"/>
      <c r="D21" s="25"/>
      <c r="E21" s="10" t="n">
        <f aca="false">IF(WEEKDAY(A21,2)&lt;=5,Übersicht!$B$4,0)</f>
        <v>8</v>
      </c>
      <c r="F21" s="10" t="str">
        <f aca="false">IF(OR(C21="U",C21="K",C21="F",C21="G"),IF(D21="",0,D21),IF(D21="","",D21-E21))</f>
        <v/>
      </c>
      <c r="G21" s="26"/>
    </row>
    <row r="22" customFormat="false" ht="15" hidden="false" customHeight="false" outlineLevel="0" collapsed="false">
      <c r="A22" s="22" t="n">
        <v>46190</v>
      </c>
      <c r="B22" s="23" t="s">
        <v>49</v>
      </c>
      <c r="C22" s="24"/>
      <c r="D22" s="25"/>
      <c r="E22" s="10" t="n">
        <f aca="false">IF(WEEKDAY(A22,2)&lt;=5,Übersicht!$B$4,0)</f>
        <v>8</v>
      </c>
      <c r="F22" s="10" t="str">
        <f aca="false">IF(OR(C22="U",C22="K",C22="F",C22="G"),IF(D22="",0,D22),IF(D22="","",D22-E22))</f>
        <v/>
      </c>
      <c r="G22" s="26"/>
    </row>
    <row r="23" customFormat="false" ht="15" hidden="false" customHeight="false" outlineLevel="0" collapsed="false">
      <c r="A23" s="22" t="n">
        <v>46191</v>
      </c>
      <c r="B23" s="23" t="s">
        <v>50</v>
      </c>
      <c r="C23" s="24"/>
      <c r="D23" s="25"/>
      <c r="E23" s="10" t="n">
        <f aca="false">IF(WEEKDAY(A23,2)&lt;=5,Übersicht!$B$4,0)</f>
        <v>8</v>
      </c>
      <c r="F23" s="10" t="str">
        <f aca="false">IF(OR(C23="U",C23="K",C23="F",C23="G"),IF(D23="",0,D23),IF(D23="","",D23-E23))</f>
        <v/>
      </c>
      <c r="G23" s="26"/>
    </row>
    <row r="24" customFormat="false" ht="15" hidden="false" customHeight="false" outlineLevel="0" collapsed="false">
      <c r="A24" s="22" t="n">
        <v>46192</v>
      </c>
      <c r="B24" s="23" t="s">
        <v>51</v>
      </c>
      <c r="C24" s="24"/>
      <c r="D24" s="25"/>
      <c r="E24" s="10" t="n">
        <f aca="false">IF(WEEKDAY(A24,2)&lt;=5,Übersicht!$B$4,0)</f>
        <v>8</v>
      </c>
      <c r="F24" s="10" t="str">
        <f aca="false">IF(OR(C24="U",C24="K",C24="F",C24="G"),IF(D24="",0,D24),IF(D24="","",D24-E24))</f>
        <v/>
      </c>
      <c r="G24" s="26"/>
    </row>
    <row r="25" customFormat="false" ht="15" hidden="false" customHeight="false" outlineLevel="0" collapsed="false">
      <c r="A25" s="16" t="n">
        <v>46193</v>
      </c>
      <c r="B25" s="17" t="s">
        <v>45</v>
      </c>
      <c r="C25" s="18"/>
      <c r="D25" s="19"/>
      <c r="E25" s="20" t="n">
        <f aca="false">IF(WEEKDAY(A25,2)&lt;=5,Übersicht!$B$4,0)</f>
        <v>0</v>
      </c>
      <c r="F25" s="20" t="str">
        <f aca="false">IF(OR(C25="U",C25="K",C25="F",C25="G"),IF(D25="",0,D25),IF(D25="","",D25-E25))</f>
        <v/>
      </c>
      <c r="G25" s="21"/>
    </row>
    <row r="26" customFormat="false" ht="15" hidden="false" customHeight="false" outlineLevel="0" collapsed="false">
      <c r="A26" s="16" t="n">
        <v>46194</v>
      </c>
      <c r="B26" s="17" t="s">
        <v>46</v>
      </c>
      <c r="C26" s="18"/>
      <c r="D26" s="19"/>
      <c r="E26" s="20" t="n">
        <f aca="false">IF(WEEKDAY(A26,2)&lt;=5,Übersicht!$B$4,0)</f>
        <v>0</v>
      </c>
      <c r="F26" s="20" t="str">
        <f aca="false">IF(OR(C26="U",C26="K",C26="F",C26="G"),IF(D26="",0,D26),IF(D26="","",D26-E26))</f>
        <v/>
      </c>
      <c r="G26" s="21"/>
    </row>
    <row r="27" customFormat="false" ht="15" hidden="false" customHeight="false" outlineLevel="0" collapsed="false">
      <c r="A27" s="22" t="n">
        <v>46195</v>
      </c>
      <c r="B27" s="23" t="s">
        <v>47</v>
      </c>
      <c r="C27" s="24"/>
      <c r="D27" s="25"/>
      <c r="E27" s="10" t="n">
        <f aca="false">IF(WEEKDAY(A27,2)&lt;=5,Übersicht!$B$4,0)</f>
        <v>8</v>
      </c>
      <c r="F27" s="10" t="str">
        <f aca="false">IF(OR(C27="U",C27="K",C27="F",C27="G"),IF(D27="",0,D27),IF(D27="","",D27-E27))</f>
        <v/>
      </c>
      <c r="G27" s="26"/>
    </row>
    <row r="28" customFormat="false" ht="15" hidden="false" customHeight="false" outlineLevel="0" collapsed="false">
      <c r="A28" s="22" t="n">
        <v>46196</v>
      </c>
      <c r="B28" s="23" t="s">
        <v>48</v>
      </c>
      <c r="C28" s="24"/>
      <c r="D28" s="25"/>
      <c r="E28" s="10" t="n">
        <f aca="false">IF(WEEKDAY(A28,2)&lt;=5,Übersicht!$B$4,0)</f>
        <v>8</v>
      </c>
      <c r="F28" s="10" t="str">
        <f aca="false">IF(OR(C28="U",C28="K",C28="F",C28="G"),IF(D28="",0,D28),IF(D28="","",D28-E28))</f>
        <v/>
      </c>
      <c r="G28" s="26"/>
    </row>
    <row r="29" customFormat="false" ht="15" hidden="false" customHeight="false" outlineLevel="0" collapsed="false">
      <c r="A29" s="22" t="n">
        <v>46197</v>
      </c>
      <c r="B29" s="23" t="s">
        <v>49</v>
      </c>
      <c r="C29" s="24"/>
      <c r="D29" s="25"/>
      <c r="E29" s="10" t="n">
        <f aca="false">IF(WEEKDAY(A29,2)&lt;=5,Übersicht!$B$4,0)</f>
        <v>8</v>
      </c>
      <c r="F29" s="10" t="str">
        <f aca="false">IF(OR(C29="U",C29="K",C29="F",C29="G"),IF(D29="",0,D29),IF(D29="","",D29-E29))</f>
        <v/>
      </c>
      <c r="G29" s="26"/>
    </row>
    <row r="30" customFormat="false" ht="15" hidden="false" customHeight="false" outlineLevel="0" collapsed="false">
      <c r="A30" s="22" t="n">
        <v>46198</v>
      </c>
      <c r="B30" s="23" t="s">
        <v>50</v>
      </c>
      <c r="C30" s="24"/>
      <c r="D30" s="25"/>
      <c r="E30" s="10" t="n">
        <f aca="false">IF(WEEKDAY(A30,2)&lt;=5,Übersicht!$B$4,0)</f>
        <v>8</v>
      </c>
      <c r="F30" s="10" t="str">
        <f aca="false">IF(OR(C30="U",C30="K",C30="F",C30="G"),IF(D30="",0,D30),IF(D30="","",D30-E30))</f>
        <v/>
      </c>
      <c r="G30" s="26"/>
    </row>
    <row r="31" customFormat="false" ht="15" hidden="false" customHeight="false" outlineLevel="0" collapsed="false">
      <c r="A31" s="22" t="n">
        <v>46199</v>
      </c>
      <c r="B31" s="23" t="s">
        <v>51</v>
      </c>
      <c r="C31" s="24"/>
      <c r="D31" s="25"/>
      <c r="E31" s="10" t="n">
        <f aca="false">IF(WEEKDAY(A31,2)&lt;=5,Übersicht!$B$4,0)</f>
        <v>8</v>
      </c>
      <c r="F31" s="10" t="str">
        <f aca="false">IF(OR(C31="U",C31="K",C31="F",C31="G"),IF(D31="",0,D31),IF(D31="","",D31-E31))</f>
        <v/>
      </c>
      <c r="G31" s="26"/>
    </row>
    <row r="32" customFormat="false" ht="15" hidden="false" customHeight="false" outlineLevel="0" collapsed="false">
      <c r="A32" s="16" t="n">
        <v>46200</v>
      </c>
      <c r="B32" s="17" t="s">
        <v>45</v>
      </c>
      <c r="C32" s="18"/>
      <c r="D32" s="19"/>
      <c r="E32" s="20" t="n">
        <f aca="false">IF(WEEKDAY(A32,2)&lt;=5,Übersicht!$B$4,0)</f>
        <v>0</v>
      </c>
      <c r="F32" s="20" t="str">
        <f aca="false">IF(OR(C32="U",C32="K",C32="F",C32="G"),IF(D32="",0,D32),IF(D32="","",D32-E32))</f>
        <v/>
      </c>
      <c r="G32" s="21"/>
    </row>
    <row r="33" customFormat="false" ht="15" hidden="false" customHeight="false" outlineLevel="0" collapsed="false">
      <c r="A33" s="16" t="n">
        <v>46201</v>
      </c>
      <c r="B33" s="17" t="s">
        <v>46</v>
      </c>
      <c r="C33" s="18"/>
      <c r="D33" s="19"/>
      <c r="E33" s="20" t="n">
        <f aca="false">IF(WEEKDAY(A33,2)&lt;=5,Übersicht!$B$4,0)</f>
        <v>0</v>
      </c>
      <c r="F33" s="20" t="str">
        <f aca="false">IF(OR(C33="U",C33="K",C33="F",C33="G"),IF(D33="",0,D33),IF(D33="","",D33-E33))</f>
        <v/>
      </c>
      <c r="G33" s="21"/>
    </row>
    <row r="34" customFormat="false" ht="15" hidden="false" customHeight="false" outlineLevel="0" collapsed="false">
      <c r="A34" s="22" t="n">
        <v>46202</v>
      </c>
      <c r="B34" s="23" t="s">
        <v>47</v>
      </c>
      <c r="C34" s="24"/>
      <c r="D34" s="25"/>
      <c r="E34" s="10" t="n">
        <f aca="false">IF(WEEKDAY(A34,2)&lt;=5,Übersicht!$B$4,0)</f>
        <v>8</v>
      </c>
      <c r="F34" s="10" t="str">
        <f aca="false">IF(OR(C34="U",C34="K",C34="F",C34="G"),IF(D34="",0,D34),IF(D34="","",D34-E34))</f>
        <v/>
      </c>
      <c r="G34" s="26"/>
    </row>
    <row r="35" customFormat="false" ht="15" hidden="false" customHeight="false" outlineLevel="0" collapsed="false">
      <c r="A35" s="22" t="n">
        <v>46203</v>
      </c>
      <c r="B35" s="23" t="s">
        <v>48</v>
      </c>
      <c r="C35" s="24"/>
      <c r="D35" s="25"/>
      <c r="E35" s="10" t="n">
        <f aca="false">IF(WEEKDAY(A35,2)&lt;=5,Übersicht!$B$4,0)</f>
        <v>8</v>
      </c>
      <c r="F35" s="10" t="str">
        <f aca="false">IF(OR(C35="U",C35="K",C35="F",C35="G"),IF(D35="",0,D35),IF(D35="","",D35-E35))</f>
        <v/>
      </c>
      <c r="G35" s="26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8</v>
      </c>
      <c r="E38" s="12" t="n">
        <f aca="false">SUM(E6:E36)</f>
        <v>176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22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Übersicht!F32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5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D23" activeCellId="0" sqref="D2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83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22" t="n">
        <v>46204</v>
      </c>
      <c r="B6" s="23" t="s">
        <v>49</v>
      </c>
      <c r="C6" s="24"/>
      <c r="D6" s="25"/>
      <c r="E6" s="10" t="n">
        <f aca="false">IF(WEEKDAY(A6,2)&lt;=5,Übersicht!$B$4,0)</f>
        <v>8</v>
      </c>
      <c r="F6" s="10" t="str">
        <f aca="false">IF(OR(C6="U",C6="K",C6="F",C6="G"),IF(D6="",0,D6),IF(D6="","",D6-E6))</f>
        <v/>
      </c>
      <c r="G6" s="26"/>
    </row>
    <row r="7" customFormat="false" ht="15" hidden="false" customHeight="false" outlineLevel="0" collapsed="false">
      <c r="A7" s="22" t="n">
        <v>46205</v>
      </c>
      <c r="B7" s="23" t="s">
        <v>50</v>
      </c>
      <c r="C7" s="24"/>
      <c r="D7" s="25"/>
      <c r="E7" s="10" t="n">
        <f aca="false">IF(WEEKDAY(A7,2)&lt;=5,Übersicht!$B$4,0)</f>
        <v>8</v>
      </c>
      <c r="F7" s="10" t="str">
        <f aca="false">IF(OR(C7="U",C7="K",C7="F",C7="G"),IF(D7="",0,D7),IF(D7="","",D7-E7))</f>
        <v/>
      </c>
      <c r="G7" s="26"/>
    </row>
    <row r="8" customFormat="false" ht="15" hidden="false" customHeight="false" outlineLevel="0" collapsed="false">
      <c r="A8" s="22" t="n">
        <v>46206</v>
      </c>
      <c r="B8" s="23" t="s">
        <v>51</v>
      </c>
      <c r="C8" s="24"/>
      <c r="D8" s="25"/>
      <c r="E8" s="10" t="n">
        <f aca="false">IF(WEEKDAY(A8,2)&lt;=5,Übersicht!$B$4,0)</f>
        <v>8</v>
      </c>
      <c r="F8" s="10" t="str">
        <f aca="false">IF(OR(C8="U",C8="K",C8="F",C8="G"),IF(D8="",0,D8),IF(D8="","",D8-E8))</f>
        <v/>
      </c>
      <c r="G8" s="26"/>
    </row>
    <row r="9" customFormat="false" ht="15" hidden="false" customHeight="false" outlineLevel="0" collapsed="false">
      <c r="A9" s="16" t="n">
        <v>46207</v>
      </c>
      <c r="B9" s="17" t="s">
        <v>45</v>
      </c>
      <c r="C9" s="18"/>
      <c r="D9" s="19"/>
      <c r="E9" s="20" t="n">
        <f aca="false">IF(WEEKDAY(A9,2)&lt;=5,Übersicht!$B$4,0)</f>
        <v>0</v>
      </c>
      <c r="F9" s="20" t="str">
        <f aca="false">IF(OR(C9="U",C9="K",C9="F",C9="G"),IF(D9="",0,D9),IF(D9="","",D9-E9))</f>
        <v/>
      </c>
      <c r="G9" s="21"/>
    </row>
    <row r="10" customFormat="false" ht="15" hidden="false" customHeight="false" outlineLevel="0" collapsed="false">
      <c r="A10" s="16" t="n">
        <v>46208</v>
      </c>
      <c r="B10" s="17" t="s">
        <v>46</v>
      </c>
      <c r="C10" s="18"/>
      <c r="D10" s="19"/>
      <c r="E10" s="20" t="n">
        <f aca="false">IF(WEEKDAY(A10,2)&lt;=5,Übersicht!$B$4,0)</f>
        <v>0</v>
      </c>
      <c r="F10" s="20" t="str">
        <f aca="false">IF(OR(C10="U",C10="K",C10="F",C10="G"),IF(D10="",0,D10),IF(D10="","",D10-E10))</f>
        <v/>
      </c>
      <c r="G10" s="21"/>
    </row>
    <row r="11" customFormat="false" ht="15" hidden="false" customHeight="false" outlineLevel="0" collapsed="false">
      <c r="A11" s="22" t="n">
        <v>46209</v>
      </c>
      <c r="B11" s="23" t="s">
        <v>47</v>
      </c>
      <c r="C11" s="24"/>
      <c r="D11" s="25"/>
      <c r="E11" s="10" t="n">
        <f aca="false">IF(WEEKDAY(A11,2)&lt;=5,Übersicht!$B$4,0)</f>
        <v>8</v>
      </c>
      <c r="F11" s="10" t="str">
        <f aca="false">IF(OR(C11="U",C11="K",C11="F",C11="G"),IF(D11="",0,D11),IF(D11="","",D11-E11))</f>
        <v/>
      </c>
      <c r="G11" s="26"/>
    </row>
    <row r="12" customFormat="false" ht="15" hidden="false" customHeight="false" outlineLevel="0" collapsed="false">
      <c r="A12" s="22" t="n">
        <v>46210</v>
      </c>
      <c r="B12" s="23" t="s">
        <v>48</v>
      </c>
      <c r="C12" s="24"/>
      <c r="D12" s="25"/>
      <c r="E12" s="10" t="n">
        <f aca="false">IF(WEEKDAY(A12,2)&lt;=5,Übersicht!$B$4,0)</f>
        <v>8</v>
      </c>
      <c r="F12" s="10" t="str">
        <f aca="false">IF(OR(C12="U",C12="K",C12="F",C12="G"),IF(D12="",0,D12),IF(D12="","",D12-E12))</f>
        <v/>
      </c>
      <c r="G12" s="26"/>
    </row>
    <row r="13" customFormat="false" ht="15" hidden="false" customHeight="false" outlineLevel="0" collapsed="false">
      <c r="A13" s="22" t="n">
        <v>46211</v>
      </c>
      <c r="B13" s="23" t="s">
        <v>49</v>
      </c>
      <c r="C13" s="24"/>
      <c r="D13" s="25"/>
      <c r="E13" s="10" t="n">
        <f aca="false">IF(WEEKDAY(A13,2)&lt;=5,Übersicht!$B$4,0)</f>
        <v>8</v>
      </c>
      <c r="F13" s="10" t="str">
        <f aca="false">IF(OR(C13="U",C13="K",C13="F",C13="G"),IF(D13="",0,D13),IF(D13="","",D13-E13))</f>
        <v/>
      </c>
      <c r="G13" s="26"/>
    </row>
    <row r="14" customFormat="false" ht="15" hidden="false" customHeight="false" outlineLevel="0" collapsed="false">
      <c r="A14" s="22" t="n">
        <v>46212</v>
      </c>
      <c r="B14" s="23" t="s">
        <v>50</v>
      </c>
      <c r="C14" s="24"/>
      <c r="D14" s="25"/>
      <c r="E14" s="10" t="n">
        <f aca="false">IF(WEEKDAY(A14,2)&lt;=5,Übersicht!$B$4,0)</f>
        <v>8</v>
      </c>
      <c r="F14" s="10" t="str">
        <f aca="false">IF(OR(C14="U",C14="K",C14="F",C14="G"),IF(D14="",0,D14),IF(D14="","",D14-E14))</f>
        <v/>
      </c>
      <c r="G14" s="26"/>
    </row>
    <row r="15" customFormat="false" ht="15" hidden="false" customHeight="false" outlineLevel="0" collapsed="false">
      <c r="A15" s="22" t="n">
        <v>46213</v>
      </c>
      <c r="B15" s="23" t="s">
        <v>51</v>
      </c>
      <c r="C15" s="24"/>
      <c r="D15" s="25"/>
      <c r="E15" s="10" t="n">
        <f aca="false">IF(WEEKDAY(A15,2)&lt;=5,Übersicht!$B$4,0)</f>
        <v>8</v>
      </c>
      <c r="F15" s="10" t="str">
        <f aca="false">IF(OR(C15="U",C15="K",C15="F",C15="G"),IF(D15="",0,D15),IF(D15="","",D15-E15))</f>
        <v/>
      </c>
      <c r="G15" s="26"/>
    </row>
    <row r="16" customFormat="false" ht="15" hidden="false" customHeight="false" outlineLevel="0" collapsed="false">
      <c r="A16" s="16" t="n">
        <v>46214</v>
      </c>
      <c r="B16" s="17" t="s">
        <v>45</v>
      </c>
      <c r="C16" s="18"/>
      <c r="D16" s="19"/>
      <c r="E16" s="20" t="n">
        <f aca="false">IF(WEEKDAY(A16,2)&lt;=5,Übersicht!$B$4,0)</f>
        <v>0</v>
      </c>
      <c r="F16" s="20" t="str">
        <f aca="false">IF(OR(C16="U",C16="K",C16="F",C16="G"),IF(D16="",0,D16),IF(D16="","",D16-E16))</f>
        <v/>
      </c>
      <c r="G16" s="21"/>
    </row>
    <row r="17" customFormat="false" ht="15" hidden="false" customHeight="false" outlineLevel="0" collapsed="false">
      <c r="A17" s="16" t="n">
        <v>46215</v>
      </c>
      <c r="B17" s="17" t="s">
        <v>46</v>
      </c>
      <c r="C17" s="18"/>
      <c r="D17" s="19"/>
      <c r="E17" s="20" t="n">
        <f aca="false">IF(WEEKDAY(A17,2)&lt;=5,Übersicht!$B$4,0)</f>
        <v>0</v>
      </c>
      <c r="F17" s="20" t="str">
        <f aca="false">IF(OR(C17="U",C17="K",C17="F",C17="G"),IF(D17="",0,D17),IF(D17="","",D17-E17))</f>
        <v/>
      </c>
      <c r="G17" s="21"/>
    </row>
    <row r="18" customFormat="false" ht="15" hidden="false" customHeight="false" outlineLevel="0" collapsed="false">
      <c r="A18" s="22" t="n">
        <v>46216</v>
      </c>
      <c r="B18" s="23" t="s">
        <v>47</v>
      </c>
      <c r="C18" s="24"/>
      <c r="D18" s="25"/>
      <c r="E18" s="10" t="n">
        <f aca="false">IF(WEEKDAY(A18,2)&lt;=5,Übersicht!$B$4,0)</f>
        <v>8</v>
      </c>
      <c r="F18" s="10" t="str">
        <f aca="false">IF(OR(C18="U",C18="K",C18="F",C18="G"),IF(D18="",0,D18),IF(D18="","",D18-E18))</f>
        <v/>
      </c>
      <c r="G18" s="26"/>
    </row>
    <row r="19" customFormat="false" ht="15" hidden="false" customHeight="false" outlineLevel="0" collapsed="false">
      <c r="A19" s="22" t="n">
        <v>46217</v>
      </c>
      <c r="B19" s="23" t="s">
        <v>48</v>
      </c>
      <c r="C19" s="24"/>
      <c r="D19" s="25"/>
      <c r="E19" s="10" t="n">
        <f aca="false">IF(WEEKDAY(A19,2)&lt;=5,Übersicht!$B$4,0)</f>
        <v>8</v>
      </c>
      <c r="F19" s="10" t="str">
        <f aca="false">IF(OR(C19="U",C19="K",C19="F",C19="G"),IF(D19="",0,D19),IF(D19="","",D19-E19))</f>
        <v/>
      </c>
      <c r="G19" s="26"/>
    </row>
    <row r="20" customFormat="false" ht="15" hidden="false" customHeight="false" outlineLevel="0" collapsed="false">
      <c r="A20" s="22" t="n">
        <v>46218</v>
      </c>
      <c r="B20" s="23" t="s">
        <v>49</v>
      </c>
      <c r="C20" s="24"/>
      <c r="D20" s="25"/>
      <c r="E20" s="10" t="n">
        <f aca="false">IF(WEEKDAY(A20,2)&lt;=5,Übersicht!$B$4,0)</f>
        <v>8</v>
      </c>
      <c r="F20" s="10" t="str">
        <f aca="false">IF(OR(C20="U",C20="K",C20="F",C20="G"),IF(D20="",0,D20),IF(D20="","",D20-E20))</f>
        <v/>
      </c>
      <c r="G20" s="26"/>
    </row>
    <row r="21" customFormat="false" ht="15" hidden="false" customHeight="false" outlineLevel="0" collapsed="false">
      <c r="A21" s="22" t="n">
        <v>46219</v>
      </c>
      <c r="B21" s="23" t="s">
        <v>50</v>
      </c>
      <c r="C21" s="24"/>
      <c r="D21" s="25"/>
      <c r="E21" s="10" t="n">
        <f aca="false">IF(WEEKDAY(A21,2)&lt;=5,Übersicht!$B$4,0)</f>
        <v>8</v>
      </c>
      <c r="F21" s="10" t="str">
        <f aca="false">IF(OR(C21="U",C21="K",C21="F",C21="G"),IF(D21="",0,D21),IF(D21="","",D21-E21))</f>
        <v/>
      </c>
      <c r="G21" s="26"/>
    </row>
    <row r="22" customFormat="false" ht="15" hidden="false" customHeight="false" outlineLevel="0" collapsed="false">
      <c r="A22" s="22" t="n">
        <v>46220</v>
      </c>
      <c r="B22" s="23" t="s">
        <v>51</v>
      </c>
      <c r="C22" s="24"/>
      <c r="D22" s="25"/>
      <c r="E22" s="10" t="n">
        <f aca="false">IF(WEEKDAY(A22,2)&lt;=5,Übersicht!$B$4,0)</f>
        <v>8</v>
      </c>
      <c r="F22" s="10" t="str">
        <f aca="false">IF(OR(C22="U",C22="K",C22="F",C22="G"),IF(D22="",0,D22),IF(D22="","",D22-E22))</f>
        <v/>
      </c>
      <c r="G22" s="26"/>
    </row>
    <row r="23" customFormat="false" ht="15" hidden="false" customHeight="false" outlineLevel="0" collapsed="false">
      <c r="A23" s="16" t="n">
        <v>46221</v>
      </c>
      <c r="B23" s="17" t="s">
        <v>45</v>
      </c>
      <c r="C23" s="18"/>
      <c r="D23" s="19"/>
      <c r="E23" s="20" t="n">
        <f aca="false">IF(WEEKDAY(A23,2)&lt;=5,Übersicht!$B$4,0)</f>
        <v>0</v>
      </c>
      <c r="F23" s="20" t="str">
        <f aca="false">IF(OR(C23="U",C23="K",C23="F",C23="G"),IF(D23="",0,D23),IF(D23="","",D23-E23))</f>
        <v/>
      </c>
      <c r="G23" s="21"/>
    </row>
    <row r="24" customFormat="false" ht="15" hidden="false" customHeight="false" outlineLevel="0" collapsed="false">
      <c r="A24" s="16" t="n">
        <v>46222</v>
      </c>
      <c r="B24" s="17" t="s">
        <v>46</v>
      </c>
      <c r="C24" s="18"/>
      <c r="D24" s="19"/>
      <c r="E24" s="20" t="n">
        <f aca="false">IF(WEEKDAY(A24,2)&lt;=5,Übersicht!$B$4,0)</f>
        <v>0</v>
      </c>
      <c r="F24" s="20" t="str">
        <f aca="false">IF(OR(C24="U",C24="K",C24="F",C24="G"),IF(D24="",0,D24),IF(D24="","",D24-E24))</f>
        <v/>
      </c>
      <c r="G24" s="21"/>
    </row>
    <row r="25" customFormat="false" ht="15" hidden="false" customHeight="false" outlineLevel="0" collapsed="false">
      <c r="A25" s="22" t="n">
        <v>46223</v>
      </c>
      <c r="B25" s="23" t="s">
        <v>47</v>
      </c>
      <c r="C25" s="24"/>
      <c r="D25" s="25"/>
      <c r="E25" s="10" t="n">
        <f aca="false">IF(WEEKDAY(A25,2)&lt;=5,Übersicht!$B$4,0)</f>
        <v>8</v>
      </c>
      <c r="F25" s="10" t="str">
        <f aca="false">IF(OR(C25="U",C25="K",C25="F",C25="G"),IF(D25="",0,D25),IF(D25="","",D25-E25))</f>
        <v/>
      </c>
      <c r="G25" s="26"/>
    </row>
    <row r="26" customFormat="false" ht="15" hidden="false" customHeight="false" outlineLevel="0" collapsed="false">
      <c r="A26" s="22" t="n">
        <v>46224</v>
      </c>
      <c r="B26" s="23" t="s">
        <v>48</v>
      </c>
      <c r="C26" s="24"/>
      <c r="D26" s="25"/>
      <c r="E26" s="10" t="n">
        <f aca="false">IF(WEEKDAY(A26,2)&lt;=5,Übersicht!$B$4,0)</f>
        <v>8</v>
      </c>
      <c r="F26" s="10" t="str">
        <f aca="false">IF(OR(C26="U",C26="K",C26="F",C26="G"),IF(D26="",0,D26),IF(D26="","",D26-E26))</f>
        <v/>
      </c>
      <c r="G26" s="26"/>
    </row>
    <row r="27" customFormat="false" ht="15" hidden="false" customHeight="false" outlineLevel="0" collapsed="false">
      <c r="A27" s="22" t="n">
        <v>46225</v>
      </c>
      <c r="B27" s="23" t="s">
        <v>49</v>
      </c>
      <c r="C27" s="24"/>
      <c r="D27" s="25"/>
      <c r="E27" s="10" t="n">
        <f aca="false">IF(WEEKDAY(A27,2)&lt;=5,Übersicht!$B$4,0)</f>
        <v>8</v>
      </c>
      <c r="F27" s="10" t="str">
        <f aca="false">IF(OR(C27="U",C27="K",C27="F",C27="G"),IF(D27="",0,D27),IF(D27="","",D27-E27))</f>
        <v/>
      </c>
      <c r="G27" s="26"/>
    </row>
    <row r="28" customFormat="false" ht="15" hidden="false" customHeight="false" outlineLevel="0" collapsed="false">
      <c r="A28" s="22" t="n">
        <v>46226</v>
      </c>
      <c r="B28" s="23" t="s">
        <v>50</v>
      </c>
      <c r="C28" s="24"/>
      <c r="D28" s="25"/>
      <c r="E28" s="10" t="n">
        <f aca="false">IF(WEEKDAY(A28,2)&lt;=5,Übersicht!$B$4,0)</f>
        <v>8</v>
      </c>
      <c r="F28" s="10" t="str">
        <f aca="false">IF(OR(C28="U",C28="K",C28="F",C28="G"),IF(D28="",0,D28),IF(D28="","",D28-E28))</f>
        <v/>
      </c>
      <c r="G28" s="26"/>
    </row>
    <row r="29" customFormat="false" ht="15" hidden="false" customHeight="false" outlineLevel="0" collapsed="false">
      <c r="A29" s="22" t="n">
        <v>46227</v>
      </c>
      <c r="B29" s="23" t="s">
        <v>51</v>
      </c>
      <c r="C29" s="24"/>
      <c r="D29" s="25"/>
      <c r="E29" s="10" t="n">
        <f aca="false">IF(WEEKDAY(A29,2)&lt;=5,Übersicht!$B$4,0)</f>
        <v>8</v>
      </c>
      <c r="F29" s="10" t="str">
        <f aca="false">IF(OR(C29="U",C29="K",C29="F",C29="G"),IF(D29="",0,D29),IF(D29="","",D29-E29))</f>
        <v/>
      </c>
      <c r="G29" s="26"/>
    </row>
    <row r="30" customFormat="false" ht="15" hidden="false" customHeight="false" outlineLevel="0" collapsed="false">
      <c r="A30" s="16" t="n">
        <v>46228</v>
      </c>
      <c r="B30" s="17" t="s">
        <v>45</v>
      </c>
      <c r="C30" s="18"/>
      <c r="D30" s="19"/>
      <c r="E30" s="20" t="n">
        <f aca="false">IF(WEEKDAY(A30,2)&lt;=5,Übersicht!$B$4,0)</f>
        <v>0</v>
      </c>
      <c r="F30" s="20" t="str">
        <f aca="false">IF(OR(C30="U",C30="K",C30="F",C30="G"),IF(D30="",0,D30),IF(D30="","",D30-E30))</f>
        <v/>
      </c>
      <c r="G30" s="21"/>
    </row>
    <row r="31" customFormat="false" ht="15" hidden="false" customHeight="false" outlineLevel="0" collapsed="false">
      <c r="A31" s="16" t="n">
        <v>46229</v>
      </c>
      <c r="B31" s="17" t="s">
        <v>46</v>
      </c>
      <c r="C31" s="18"/>
      <c r="D31" s="19"/>
      <c r="E31" s="20" t="n">
        <f aca="false">IF(WEEKDAY(A31,2)&lt;=5,Übersicht!$B$4,0)</f>
        <v>0</v>
      </c>
      <c r="F31" s="20" t="str">
        <f aca="false">IF(OR(C31="U",C31="K",C31="F",C31="G"),IF(D31="",0,D31),IF(D31="","",D31-E31))</f>
        <v/>
      </c>
      <c r="G31" s="21"/>
    </row>
    <row r="32" customFormat="false" ht="15" hidden="false" customHeight="false" outlineLevel="0" collapsed="false">
      <c r="A32" s="22" t="n">
        <v>46230</v>
      </c>
      <c r="B32" s="23" t="s">
        <v>47</v>
      </c>
      <c r="C32" s="24"/>
      <c r="D32" s="25"/>
      <c r="E32" s="10" t="n">
        <f aca="false">IF(WEEKDAY(A32,2)&lt;=5,Übersicht!$B$4,0)</f>
        <v>8</v>
      </c>
      <c r="F32" s="10" t="str">
        <f aca="false">IF(OR(C32="U",C32="K",C32="F",C32="G"),IF(D32="",0,D32),IF(D32="","",D32-E32))</f>
        <v/>
      </c>
      <c r="G32" s="26"/>
    </row>
    <row r="33" customFormat="false" ht="15" hidden="false" customHeight="false" outlineLevel="0" collapsed="false">
      <c r="A33" s="22" t="n">
        <v>46231</v>
      </c>
      <c r="B33" s="23" t="s">
        <v>48</v>
      </c>
      <c r="C33" s="24"/>
      <c r="D33" s="25"/>
      <c r="E33" s="10" t="n">
        <f aca="false">IF(WEEKDAY(A33,2)&lt;=5,Übersicht!$B$4,0)</f>
        <v>8</v>
      </c>
      <c r="F33" s="10" t="str">
        <f aca="false">IF(OR(C33="U",C33="K",C33="F",C33="G"),IF(D33="",0,D33),IF(D33="","",D33-E33))</f>
        <v/>
      </c>
      <c r="G33" s="26"/>
    </row>
    <row r="34" customFormat="false" ht="15" hidden="false" customHeight="false" outlineLevel="0" collapsed="false">
      <c r="A34" s="22" t="n">
        <v>46232</v>
      </c>
      <c r="B34" s="23" t="s">
        <v>49</v>
      </c>
      <c r="C34" s="24"/>
      <c r="D34" s="25"/>
      <c r="E34" s="10" t="n">
        <f aca="false">IF(WEEKDAY(A34,2)&lt;=5,Übersicht!$B$4,0)</f>
        <v>8</v>
      </c>
      <c r="F34" s="10" t="str">
        <f aca="false">IF(OR(C34="U",C34="K",C34="F",C34="G"),IF(D34="",0,D34),IF(D34="","",D34-E34))</f>
        <v/>
      </c>
      <c r="G34" s="26"/>
    </row>
    <row r="35" customFormat="false" ht="15" hidden="false" customHeight="false" outlineLevel="0" collapsed="false">
      <c r="A35" s="22" t="n">
        <v>46233</v>
      </c>
      <c r="B35" s="23" t="s">
        <v>50</v>
      </c>
      <c r="C35" s="24"/>
      <c r="D35" s="25"/>
      <c r="E35" s="10" t="n">
        <f aca="false">IF(WEEKDAY(A35,2)&lt;=5,Übersicht!$B$4,0)</f>
        <v>8</v>
      </c>
      <c r="F35" s="10" t="str">
        <f aca="false">IF(OR(C35="U",C35="K",C35="F",C35="G"),IF(D35="",0,D35),IF(D35="","",D35-E35))</f>
        <v/>
      </c>
      <c r="G35" s="26"/>
    </row>
    <row r="36" customFormat="false" ht="15" hidden="false" customHeight="false" outlineLevel="0" collapsed="false">
      <c r="A36" s="22" t="n">
        <v>46234</v>
      </c>
      <c r="B36" s="23" t="s">
        <v>51</v>
      </c>
      <c r="C36" s="24"/>
      <c r="D36" s="25"/>
      <c r="E36" s="10" t="n">
        <f aca="false">IF(WEEKDAY(A36,2)&lt;=5,Übersicht!$B$4,0)</f>
        <v>8</v>
      </c>
      <c r="F36" s="10" t="str">
        <f aca="false">IF(OR(C36="U",C36="K",C36="F",C36="G"),IF(D36="",0,D36),IF(D36="","",D36-E36))</f>
        <v/>
      </c>
      <c r="G36" s="26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0</v>
      </c>
      <c r="E38" s="12" t="n">
        <f aca="false">SUM(E6:E36)</f>
        <v>184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23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Übersicht!F33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6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J35" activeCellId="0" sqref="J3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8" hidden="false" customHeight="true" outlineLevel="0" collapsed="false">
      <c r="A1" s="1" t="s">
        <v>84</v>
      </c>
    </row>
    <row r="2" customFormat="false" ht="15" hidden="false" customHeight="false" outlineLevel="0" collapsed="false">
      <c r="A2" s="2" t="s">
        <v>39</v>
      </c>
      <c r="B2" s="13"/>
      <c r="C2" s="13"/>
      <c r="D2" s="13"/>
    </row>
    <row r="3" customFormat="false" ht="15" hidden="false" customHeight="false" outlineLevel="0" collapsed="false">
      <c r="A3" s="14" t="s">
        <v>40</v>
      </c>
    </row>
    <row r="5" customFormat="false" ht="15" hidden="false" customHeight="false" outlineLevel="0" collapsed="false">
      <c r="A5" s="15" t="s">
        <v>41</v>
      </c>
      <c r="B5" s="15" t="s">
        <v>42</v>
      </c>
      <c r="C5" s="15" t="s">
        <v>43</v>
      </c>
      <c r="D5" s="15" t="s">
        <v>13</v>
      </c>
      <c r="E5" s="15" t="s">
        <v>12</v>
      </c>
      <c r="F5" s="15" t="s">
        <v>14</v>
      </c>
      <c r="G5" s="15" t="s">
        <v>44</v>
      </c>
    </row>
    <row r="6" customFormat="false" ht="15" hidden="false" customHeight="false" outlineLevel="0" collapsed="false">
      <c r="A6" s="16" t="n">
        <v>46235</v>
      </c>
      <c r="B6" s="17" t="s">
        <v>45</v>
      </c>
      <c r="C6" s="18"/>
      <c r="D6" s="19"/>
      <c r="E6" s="20" t="n">
        <f aca="false">IF(WEEKDAY(A6,2)&lt;=5,Übersicht!$B$4,0)</f>
        <v>0</v>
      </c>
      <c r="F6" s="20" t="str">
        <f aca="false">IF(OR(C6="U",C6="K",C6="F",C6="G"),IF(D6="",0,D6),IF(D6="","",D6-E6))</f>
        <v/>
      </c>
      <c r="G6" s="21"/>
    </row>
    <row r="7" customFormat="false" ht="15" hidden="false" customHeight="false" outlineLevel="0" collapsed="false">
      <c r="A7" s="16" t="n">
        <v>46236</v>
      </c>
      <c r="B7" s="17" t="s">
        <v>46</v>
      </c>
      <c r="C7" s="18"/>
      <c r="D7" s="19"/>
      <c r="E7" s="20" t="n">
        <f aca="false">IF(WEEKDAY(A7,2)&lt;=5,Übersicht!$B$4,0)</f>
        <v>0</v>
      </c>
      <c r="F7" s="20" t="str">
        <f aca="false">IF(OR(C7="U",C7="K",C7="F",C7="G"),IF(D7="",0,D7),IF(D7="","",D7-E7))</f>
        <v/>
      </c>
      <c r="G7" s="21"/>
    </row>
    <row r="8" customFormat="false" ht="15" hidden="false" customHeight="false" outlineLevel="0" collapsed="false">
      <c r="A8" s="22" t="n">
        <v>46237</v>
      </c>
      <c r="B8" s="23" t="s">
        <v>47</v>
      </c>
      <c r="C8" s="24"/>
      <c r="D8" s="25"/>
      <c r="E8" s="10" t="n">
        <f aca="false">IF(WEEKDAY(A8,2)&lt;=5,Übersicht!$B$4,0)</f>
        <v>8</v>
      </c>
      <c r="F8" s="10" t="str">
        <f aca="false">IF(OR(C8="U",C8="K",C8="F",C8="G"),IF(D8="",0,D8),IF(D8="","",D8-E8))</f>
        <v/>
      </c>
      <c r="G8" s="26"/>
    </row>
    <row r="9" customFormat="false" ht="15" hidden="false" customHeight="false" outlineLevel="0" collapsed="false">
      <c r="A9" s="22" t="n">
        <v>46238</v>
      </c>
      <c r="B9" s="23" t="s">
        <v>48</v>
      </c>
      <c r="C9" s="24"/>
      <c r="D9" s="25"/>
      <c r="E9" s="10" t="n">
        <f aca="false">IF(WEEKDAY(A9,2)&lt;=5,Übersicht!$B$4,0)</f>
        <v>8</v>
      </c>
      <c r="F9" s="10" t="str">
        <f aca="false">IF(OR(C9="U",C9="K",C9="F",C9="G"),IF(D9="",0,D9),IF(D9="","",D9-E9))</f>
        <v/>
      </c>
      <c r="G9" s="26"/>
    </row>
    <row r="10" customFormat="false" ht="15" hidden="false" customHeight="false" outlineLevel="0" collapsed="false">
      <c r="A10" s="22" t="n">
        <v>46239</v>
      </c>
      <c r="B10" s="23" t="s">
        <v>49</v>
      </c>
      <c r="C10" s="24"/>
      <c r="D10" s="25"/>
      <c r="E10" s="10" t="n">
        <f aca="false">IF(WEEKDAY(A10,2)&lt;=5,Übersicht!$B$4,0)</f>
        <v>8</v>
      </c>
      <c r="F10" s="10" t="str">
        <f aca="false">IF(OR(C10="U",C10="K",C10="F",C10="G"),IF(D10="",0,D10),IF(D10="","",D10-E10))</f>
        <v/>
      </c>
      <c r="G10" s="26"/>
    </row>
    <row r="11" customFormat="false" ht="15" hidden="false" customHeight="false" outlineLevel="0" collapsed="false">
      <c r="A11" s="22" t="n">
        <v>46240</v>
      </c>
      <c r="B11" s="23" t="s">
        <v>50</v>
      </c>
      <c r="C11" s="24"/>
      <c r="D11" s="25"/>
      <c r="E11" s="10" t="n">
        <f aca="false">IF(WEEKDAY(A11,2)&lt;=5,Übersicht!$B$4,0)</f>
        <v>8</v>
      </c>
      <c r="F11" s="10" t="str">
        <f aca="false">IF(OR(C11="U",C11="K",C11="F",C11="G"),IF(D11="",0,D11),IF(D11="","",D11-E11))</f>
        <v/>
      </c>
      <c r="G11" s="26"/>
    </row>
    <row r="12" customFormat="false" ht="15" hidden="false" customHeight="false" outlineLevel="0" collapsed="false">
      <c r="A12" s="22" t="n">
        <v>46241</v>
      </c>
      <c r="B12" s="23" t="s">
        <v>51</v>
      </c>
      <c r="C12" s="24"/>
      <c r="D12" s="25"/>
      <c r="E12" s="10" t="n">
        <f aca="false">IF(WEEKDAY(A12,2)&lt;=5,Übersicht!$B$4,0)</f>
        <v>8</v>
      </c>
      <c r="F12" s="10" t="str">
        <f aca="false">IF(OR(C12="U",C12="K",C12="F",C12="G"),IF(D12="",0,D12),IF(D12="","",D12-E12))</f>
        <v/>
      </c>
      <c r="G12" s="26"/>
    </row>
    <row r="13" customFormat="false" ht="15" hidden="false" customHeight="false" outlineLevel="0" collapsed="false">
      <c r="A13" s="16" t="n">
        <v>46242</v>
      </c>
      <c r="B13" s="17" t="s">
        <v>45</v>
      </c>
      <c r="C13" s="18"/>
      <c r="D13" s="19"/>
      <c r="E13" s="20" t="n">
        <f aca="false">IF(WEEKDAY(A13,2)&lt;=5,Übersicht!$B$4,0)</f>
        <v>0</v>
      </c>
      <c r="F13" s="20" t="str">
        <f aca="false">IF(OR(C13="U",C13="K",C13="F",C13="G"),IF(D13="",0,D13),IF(D13="","",D13-E13))</f>
        <v/>
      </c>
      <c r="G13" s="21"/>
    </row>
    <row r="14" customFormat="false" ht="15" hidden="false" customHeight="false" outlineLevel="0" collapsed="false">
      <c r="A14" s="16" t="n">
        <v>46243</v>
      </c>
      <c r="B14" s="17" t="s">
        <v>46</v>
      </c>
      <c r="C14" s="18"/>
      <c r="D14" s="19"/>
      <c r="E14" s="20" t="n">
        <f aca="false">IF(WEEKDAY(A14,2)&lt;=5,Übersicht!$B$4,0)</f>
        <v>0</v>
      </c>
      <c r="F14" s="20" t="str">
        <f aca="false">IF(OR(C14="U",C14="K",C14="F",C14="G"),IF(D14="",0,D14),IF(D14="","",D14-E14))</f>
        <v/>
      </c>
      <c r="G14" s="21"/>
    </row>
    <row r="15" customFormat="false" ht="15" hidden="false" customHeight="false" outlineLevel="0" collapsed="false">
      <c r="A15" s="22" t="n">
        <v>46244</v>
      </c>
      <c r="B15" s="23" t="s">
        <v>47</v>
      </c>
      <c r="C15" s="24"/>
      <c r="D15" s="25"/>
      <c r="E15" s="10" t="n">
        <f aca="false">IF(WEEKDAY(A15,2)&lt;=5,Übersicht!$B$4,0)</f>
        <v>8</v>
      </c>
      <c r="F15" s="10" t="str">
        <f aca="false">IF(OR(C15="U",C15="K",C15="F",C15="G"),IF(D15="",0,D15),IF(D15="","",D15-E15))</f>
        <v/>
      </c>
      <c r="G15" s="26"/>
    </row>
    <row r="16" customFormat="false" ht="15" hidden="false" customHeight="false" outlineLevel="0" collapsed="false">
      <c r="A16" s="22" t="n">
        <v>46245</v>
      </c>
      <c r="B16" s="23" t="s">
        <v>48</v>
      </c>
      <c r="C16" s="24"/>
      <c r="D16" s="25"/>
      <c r="E16" s="10" t="n">
        <f aca="false">IF(WEEKDAY(A16,2)&lt;=5,Übersicht!$B$4,0)</f>
        <v>8</v>
      </c>
      <c r="F16" s="10" t="str">
        <f aca="false">IF(OR(C16="U",C16="K",C16="F",C16="G"),IF(D16="",0,D16),IF(D16="","",D16-E16))</f>
        <v/>
      </c>
      <c r="G16" s="26"/>
    </row>
    <row r="17" customFormat="false" ht="15" hidden="false" customHeight="false" outlineLevel="0" collapsed="false">
      <c r="A17" s="22" t="n">
        <v>46246</v>
      </c>
      <c r="B17" s="23" t="s">
        <v>49</v>
      </c>
      <c r="C17" s="24"/>
      <c r="D17" s="25"/>
      <c r="E17" s="10" t="n">
        <f aca="false">IF(WEEKDAY(A17,2)&lt;=5,Übersicht!$B$4,0)</f>
        <v>8</v>
      </c>
      <c r="F17" s="10" t="str">
        <f aca="false">IF(OR(C17="U",C17="K",C17="F",C17="G"),IF(D17="",0,D17),IF(D17="","",D17-E17))</f>
        <v/>
      </c>
      <c r="G17" s="26"/>
    </row>
    <row r="18" customFormat="false" ht="15" hidden="false" customHeight="false" outlineLevel="0" collapsed="false">
      <c r="A18" s="22" t="n">
        <v>46247</v>
      </c>
      <c r="B18" s="23" t="s">
        <v>50</v>
      </c>
      <c r="C18" s="24"/>
      <c r="D18" s="25"/>
      <c r="E18" s="10" t="n">
        <f aca="false">IF(WEEKDAY(A18,2)&lt;=5,Übersicht!$B$4,0)</f>
        <v>8</v>
      </c>
      <c r="F18" s="10" t="str">
        <f aca="false">IF(OR(C18="U",C18="K",C18="F",C18="G"),IF(D18="",0,D18),IF(D18="","",D18-E18))</f>
        <v/>
      </c>
      <c r="G18" s="26"/>
    </row>
    <row r="19" customFormat="false" ht="15" hidden="false" customHeight="false" outlineLevel="0" collapsed="false">
      <c r="A19" s="22" t="n">
        <v>46248</v>
      </c>
      <c r="B19" s="23" t="s">
        <v>51</v>
      </c>
      <c r="C19" s="24"/>
      <c r="D19" s="25"/>
      <c r="E19" s="10" t="n">
        <f aca="false">IF(WEEKDAY(A19,2)&lt;=5,Übersicht!$B$4,0)</f>
        <v>8</v>
      </c>
      <c r="F19" s="10" t="str">
        <f aca="false">IF(OR(C19="U",C19="K",C19="F",C19="G"),IF(D19="",0,D19),IF(D19="","",D19-E19))</f>
        <v/>
      </c>
      <c r="G19" s="26"/>
    </row>
    <row r="20" customFormat="false" ht="15" hidden="false" customHeight="false" outlineLevel="0" collapsed="false">
      <c r="A20" s="16" t="n">
        <v>46249</v>
      </c>
      <c r="B20" s="17" t="s">
        <v>45</v>
      </c>
      <c r="C20" s="18"/>
      <c r="D20" s="19"/>
      <c r="E20" s="20" t="n">
        <f aca="false">IF(WEEKDAY(A20,2)&lt;=5,Übersicht!$B$4,0)</f>
        <v>0</v>
      </c>
      <c r="F20" s="20" t="str">
        <f aca="false">IF(OR(C20="U",C20="K",C20="F",C20="G"),IF(D20="",0,D20),IF(D20="","",D20-E20))</f>
        <v/>
      </c>
      <c r="G20" s="21"/>
    </row>
    <row r="21" customFormat="false" ht="15" hidden="false" customHeight="false" outlineLevel="0" collapsed="false">
      <c r="A21" s="16" t="n">
        <v>46250</v>
      </c>
      <c r="B21" s="17" t="s">
        <v>46</v>
      </c>
      <c r="C21" s="18"/>
      <c r="D21" s="19"/>
      <c r="E21" s="20" t="n">
        <f aca="false">IF(WEEKDAY(A21,2)&lt;=5,Übersicht!$B$4,0)</f>
        <v>0</v>
      </c>
      <c r="F21" s="20" t="str">
        <f aca="false">IF(OR(C21="U",C21="K",C21="F",C21="G"),IF(D21="",0,D21),IF(D21="","",D21-E21))</f>
        <v/>
      </c>
      <c r="G21" s="21"/>
    </row>
    <row r="22" customFormat="false" ht="15" hidden="false" customHeight="false" outlineLevel="0" collapsed="false">
      <c r="A22" s="22" t="n">
        <v>46251</v>
      </c>
      <c r="B22" s="23" t="s">
        <v>47</v>
      </c>
      <c r="C22" s="24"/>
      <c r="D22" s="25"/>
      <c r="E22" s="10" t="n">
        <f aca="false">IF(WEEKDAY(A22,2)&lt;=5,Übersicht!$B$4,0)</f>
        <v>8</v>
      </c>
      <c r="F22" s="10" t="str">
        <f aca="false">IF(OR(C22="U",C22="K",C22="F",C22="G"),IF(D22="",0,D22),IF(D22="","",D22-E22))</f>
        <v/>
      </c>
      <c r="G22" s="26"/>
    </row>
    <row r="23" customFormat="false" ht="15" hidden="false" customHeight="false" outlineLevel="0" collapsed="false">
      <c r="A23" s="22" t="n">
        <v>46252</v>
      </c>
      <c r="B23" s="23" t="s">
        <v>48</v>
      </c>
      <c r="C23" s="24"/>
      <c r="D23" s="25"/>
      <c r="E23" s="10" t="n">
        <f aca="false">IF(WEEKDAY(A23,2)&lt;=5,Übersicht!$B$4,0)</f>
        <v>8</v>
      </c>
      <c r="F23" s="10" t="str">
        <f aca="false">IF(OR(C23="U",C23="K",C23="F",C23="G"),IF(D23="",0,D23),IF(D23="","",D23-E23))</f>
        <v/>
      </c>
      <c r="G23" s="26"/>
    </row>
    <row r="24" customFormat="false" ht="15" hidden="false" customHeight="false" outlineLevel="0" collapsed="false">
      <c r="A24" s="22" t="n">
        <v>46253</v>
      </c>
      <c r="B24" s="23" t="s">
        <v>49</v>
      </c>
      <c r="C24" s="24"/>
      <c r="D24" s="25"/>
      <c r="E24" s="10" t="n">
        <f aca="false">IF(WEEKDAY(A24,2)&lt;=5,Übersicht!$B$4,0)</f>
        <v>8</v>
      </c>
      <c r="F24" s="10" t="str">
        <f aca="false">IF(OR(C24="U",C24="K",C24="F",C24="G"),IF(D24="",0,D24),IF(D24="","",D24-E24))</f>
        <v/>
      </c>
      <c r="G24" s="26"/>
    </row>
    <row r="25" customFormat="false" ht="15" hidden="false" customHeight="false" outlineLevel="0" collapsed="false">
      <c r="A25" s="22" t="n">
        <v>46254</v>
      </c>
      <c r="B25" s="23" t="s">
        <v>50</v>
      </c>
      <c r="C25" s="24"/>
      <c r="D25" s="25"/>
      <c r="E25" s="10" t="n">
        <f aca="false">IF(WEEKDAY(A25,2)&lt;=5,Übersicht!$B$4,0)</f>
        <v>8</v>
      </c>
      <c r="F25" s="10" t="str">
        <f aca="false">IF(OR(C25="U",C25="K",C25="F",C25="G"),IF(D25="",0,D25),IF(D25="","",D25-E25))</f>
        <v/>
      </c>
      <c r="G25" s="26"/>
    </row>
    <row r="26" customFormat="false" ht="15" hidden="false" customHeight="false" outlineLevel="0" collapsed="false">
      <c r="A26" s="22" t="n">
        <v>46255</v>
      </c>
      <c r="B26" s="23" t="s">
        <v>51</v>
      </c>
      <c r="C26" s="24"/>
      <c r="D26" s="25"/>
      <c r="E26" s="10" t="n">
        <f aca="false">IF(WEEKDAY(A26,2)&lt;=5,Übersicht!$B$4,0)</f>
        <v>8</v>
      </c>
      <c r="F26" s="10" t="str">
        <f aca="false">IF(OR(C26="U",C26="K",C26="F",C26="G"),IF(D26="",0,D26),IF(D26="","",D26-E26))</f>
        <v/>
      </c>
      <c r="G26" s="26"/>
    </row>
    <row r="27" customFormat="false" ht="15" hidden="false" customHeight="false" outlineLevel="0" collapsed="false">
      <c r="A27" s="16" t="n">
        <v>46256</v>
      </c>
      <c r="B27" s="17" t="s">
        <v>45</v>
      </c>
      <c r="C27" s="18"/>
      <c r="D27" s="19"/>
      <c r="E27" s="20" t="n">
        <f aca="false">IF(WEEKDAY(A27,2)&lt;=5,Übersicht!$B$4,0)</f>
        <v>0</v>
      </c>
      <c r="F27" s="20" t="str">
        <f aca="false">IF(OR(C27="U",C27="K",C27="F",C27="G"),IF(D27="",0,D27),IF(D27="","",D27-E27))</f>
        <v/>
      </c>
      <c r="G27" s="21"/>
    </row>
    <row r="28" customFormat="false" ht="15" hidden="false" customHeight="false" outlineLevel="0" collapsed="false">
      <c r="A28" s="16" t="n">
        <v>46257</v>
      </c>
      <c r="B28" s="17" t="s">
        <v>46</v>
      </c>
      <c r="C28" s="18"/>
      <c r="D28" s="19"/>
      <c r="E28" s="20" t="n">
        <f aca="false">IF(WEEKDAY(A28,2)&lt;=5,Übersicht!$B$4,0)</f>
        <v>0</v>
      </c>
      <c r="F28" s="20" t="str">
        <f aca="false">IF(OR(C28="U",C28="K",C28="F",C28="G"),IF(D28="",0,D28),IF(D28="","",D28-E28))</f>
        <v/>
      </c>
      <c r="G28" s="21"/>
    </row>
    <row r="29" customFormat="false" ht="15" hidden="false" customHeight="false" outlineLevel="0" collapsed="false">
      <c r="A29" s="22" t="n">
        <v>46258</v>
      </c>
      <c r="B29" s="23" t="s">
        <v>47</v>
      </c>
      <c r="C29" s="24"/>
      <c r="D29" s="25"/>
      <c r="E29" s="10" t="n">
        <f aca="false">IF(WEEKDAY(A29,2)&lt;=5,Übersicht!$B$4,0)</f>
        <v>8</v>
      </c>
      <c r="F29" s="10" t="str">
        <f aca="false">IF(OR(C29="U",C29="K",C29="F",C29="G"),IF(D29="",0,D29),IF(D29="","",D29-E29))</f>
        <v/>
      </c>
      <c r="G29" s="26"/>
    </row>
    <row r="30" customFormat="false" ht="15" hidden="false" customHeight="false" outlineLevel="0" collapsed="false">
      <c r="A30" s="22" t="n">
        <v>46259</v>
      </c>
      <c r="B30" s="23" t="s">
        <v>48</v>
      </c>
      <c r="C30" s="24"/>
      <c r="D30" s="25"/>
      <c r="E30" s="10" t="n">
        <f aca="false">IF(WEEKDAY(A30,2)&lt;=5,Übersicht!$B$4,0)</f>
        <v>8</v>
      </c>
      <c r="F30" s="10" t="str">
        <f aca="false">IF(OR(C30="U",C30="K",C30="F",C30="G"),IF(D30="",0,D30),IF(D30="","",D30-E30))</f>
        <v/>
      </c>
      <c r="G30" s="26"/>
    </row>
    <row r="31" customFormat="false" ht="15" hidden="false" customHeight="false" outlineLevel="0" collapsed="false">
      <c r="A31" s="22" t="n">
        <v>46260</v>
      </c>
      <c r="B31" s="23" t="s">
        <v>49</v>
      </c>
      <c r="C31" s="24"/>
      <c r="D31" s="25"/>
      <c r="E31" s="10" t="n">
        <f aca="false">IF(WEEKDAY(A31,2)&lt;=5,Übersicht!$B$4,0)</f>
        <v>8</v>
      </c>
      <c r="F31" s="10" t="str">
        <f aca="false">IF(OR(C31="U",C31="K",C31="F",C31="G"),IF(D31="",0,D31),IF(D31="","",D31-E31))</f>
        <v/>
      </c>
      <c r="G31" s="26"/>
    </row>
    <row r="32" customFormat="false" ht="15" hidden="false" customHeight="false" outlineLevel="0" collapsed="false">
      <c r="A32" s="22" t="n">
        <v>46261</v>
      </c>
      <c r="B32" s="23" t="s">
        <v>50</v>
      </c>
      <c r="C32" s="24"/>
      <c r="D32" s="25"/>
      <c r="E32" s="10" t="n">
        <f aca="false">IF(WEEKDAY(A32,2)&lt;=5,Übersicht!$B$4,0)</f>
        <v>8</v>
      </c>
      <c r="F32" s="10" t="str">
        <f aca="false">IF(OR(C32="U",C32="K",C32="F",C32="G"),IF(D32="",0,D32),IF(D32="","",D32-E32))</f>
        <v/>
      </c>
      <c r="G32" s="26"/>
    </row>
    <row r="33" customFormat="false" ht="15" hidden="false" customHeight="false" outlineLevel="0" collapsed="false">
      <c r="A33" s="22" t="n">
        <v>46262</v>
      </c>
      <c r="B33" s="23" t="s">
        <v>51</v>
      </c>
      <c r="C33" s="24"/>
      <c r="D33" s="25"/>
      <c r="E33" s="10" t="n">
        <f aca="false">IF(WEEKDAY(A33,2)&lt;=5,Übersicht!$B$4,0)</f>
        <v>8</v>
      </c>
      <c r="F33" s="10" t="str">
        <f aca="false">IF(OR(C33="U",C33="K",C33="F",C33="G"),IF(D33="",0,D33),IF(D33="","",D33-E33))</f>
        <v/>
      </c>
      <c r="G33" s="26"/>
    </row>
    <row r="34" customFormat="false" ht="15" hidden="false" customHeight="false" outlineLevel="0" collapsed="false">
      <c r="A34" s="16" t="n">
        <v>46263</v>
      </c>
      <c r="B34" s="17" t="s">
        <v>45</v>
      </c>
      <c r="C34" s="18"/>
      <c r="D34" s="19"/>
      <c r="E34" s="20" t="n">
        <f aca="false">IF(WEEKDAY(A34,2)&lt;=5,Übersicht!$B$4,0)</f>
        <v>0</v>
      </c>
      <c r="F34" s="20" t="str">
        <f aca="false">IF(OR(C34="U",C34="K",C34="F",C34="G"),IF(D34="",0,D34),IF(D34="","",D34-E34))</f>
        <v/>
      </c>
      <c r="G34" s="21"/>
    </row>
    <row r="35" customFormat="false" ht="15" hidden="false" customHeight="false" outlineLevel="0" collapsed="false">
      <c r="A35" s="16" t="n">
        <v>46264</v>
      </c>
      <c r="B35" s="17" t="s">
        <v>46</v>
      </c>
      <c r="C35" s="18"/>
      <c r="D35" s="19"/>
      <c r="E35" s="20" t="n">
        <f aca="false">IF(WEEKDAY(A35,2)&lt;=5,Übersicht!$B$4,0)</f>
        <v>0</v>
      </c>
      <c r="F35" s="20" t="str">
        <f aca="false">IF(OR(C35="U",C35="K",C35="F",C35="G"),IF(D35="",0,D35),IF(D35="","",D35-E35))</f>
        <v/>
      </c>
      <c r="G35" s="21"/>
    </row>
    <row r="36" customFormat="false" ht="15" hidden="false" customHeight="false" outlineLevel="0" collapsed="false">
      <c r="A36" s="22" t="n">
        <v>46265</v>
      </c>
      <c r="B36" s="23" t="s">
        <v>47</v>
      </c>
      <c r="C36" s="24"/>
      <c r="D36" s="25"/>
      <c r="E36" s="10" t="n">
        <f aca="false">IF(WEEKDAY(A36,2)&lt;=5,Übersicht!$B$4,0)</f>
        <v>8</v>
      </c>
      <c r="F36" s="10" t="str">
        <f aca="false">IF(OR(C36="U",C36="K",C36="F",C36="G"),IF(D36="",0,D36),IF(D36="","",D36-E36))</f>
        <v/>
      </c>
      <c r="G36" s="26"/>
    </row>
    <row r="38" customFormat="false" ht="15" hidden="false" customHeight="false" outlineLevel="0" collapsed="false">
      <c r="A38" s="11" t="s">
        <v>52</v>
      </c>
      <c r="B38" s="27"/>
      <c r="C38" s="27"/>
      <c r="D38" s="12" t="n">
        <f aca="false">SUM(D6:D36)+SUMIF(C6:C36,"U",E6:E36)+SUMIF(C6:C36,"K",E6:E36)+SUMIF(C6:C36,"F",E6:E36)+SUMIF(C6:C36,"G",E6:E36)</f>
        <v>0</v>
      </c>
      <c r="E38" s="12" t="n">
        <f aca="false">SUM(E6:E36)</f>
        <v>168</v>
      </c>
      <c r="F38" s="12" t="n">
        <f aca="false">SUM(F6:F36)</f>
        <v>0</v>
      </c>
      <c r="G38" s="27"/>
    </row>
    <row r="39" customFormat="false" ht="15" hidden="false" customHeight="false" outlineLevel="0" collapsed="false">
      <c r="A39" s="5" t="s">
        <v>11</v>
      </c>
      <c r="B39" s="28" t="n">
        <f aca="false">COUNTIF(E6:E36,"&gt;0")</f>
        <v>21</v>
      </c>
    </row>
    <row r="40" customFormat="false" ht="15" hidden="false" customHeight="false" outlineLevel="0" collapsed="false">
      <c r="A40" s="5" t="s">
        <v>16</v>
      </c>
      <c r="B40" s="28" t="n">
        <f aca="false">COUNTIF(C6:C36,"U")</f>
        <v>0</v>
      </c>
    </row>
    <row r="41" customFormat="false" ht="15" hidden="false" customHeight="false" outlineLevel="0" collapsed="false">
      <c r="A41" s="5" t="s">
        <v>17</v>
      </c>
      <c r="B41" s="28" t="n">
        <f aca="false">COUNTIF(C6:C36,"K")</f>
        <v>0</v>
      </c>
    </row>
    <row r="42" customFormat="false" ht="15" hidden="false" customHeight="false" outlineLevel="0" collapsed="false">
      <c r="A42" s="5" t="s">
        <v>53</v>
      </c>
      <c r="B42" s="29" t="n">
        <f aca="false">Übersicht!F34</f>
        <v>0</v>
      </c>
    </row>
  </sheetData>
  <mergeCells count="1">
    <mergeCell ref="B2:D2"/>
  </mergeCells>
  <dataValidations count="1">
    <dataValidation allowBlank="true" errorStyle="stop" operator="between" showDropDown="false" showErrorMessage="false" showInputMessage="false" sqref="C6:C36" type="list">
      <formula1>"U,K,F,G"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2026-09-11T09:52:54Z</dcterms:created>
  <dc:creator>openpyxl</dc:creator>
  <dc:description/>
  <dc:language>en-US</dc:language>
  <cp:lastModifiedBy>Simon Blasen</cp:lastModifiedBy>
  <dcterms:modified xsi:type="dcterms:W3CDTF">2026-09-11T14:40:31Z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