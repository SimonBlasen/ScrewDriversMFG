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4815B80E-98E4-463B-B8B6-553F4F0F1ABE}" xr6:coauthVersionLast="47" xr6:coauthVersionMax="47" xr10:uidLastSave="{00000000-0000-0000-0000-000000000000}"/>
  <bookViews>
    <workbookView xWindow="24075" yWindow="1815" windowWidth="36210" windowHeight="24495" tabRatio="500" activeTab="1" xr2:uid="{00000000-000D-0000-FFFF-FFFF00000000}"/>
  </bookViews>
  <sheets>
    <sheet name="Kosten_Planung" sheetId="1" r:id="rId1"/>
    <sheet name="Tracking_Actuals_Projektverlauf" sheetId="2" r:id="rId2"/>
  </sheets>
  <definedNames>
    <definedName name="_xlnm.Print_Area" localSheetId="0">Kosten_Planung!$B$2:$AD$93</definedName>
    <definedName name="_xlnm.Print_Area" localSheetId="1">Tracking_Actuals_Projektverlauf!$B$2:$AC$96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9" i="2" l="1"/>
  <c r="U9" i="2"/>
  <c r="V9" i="2"/>
  <c r="W9" i="2"/>
  <c r="Y8" i="2"/>
  <c r="Y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E9" i="2"/>
  <c r="E8" i="2"/>
  <c r="F8" i="2"/>
  <c r="G8" i="2"/>
  <c r="H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I8" i="2"/>
  <c r="R19" i="2"/>
  <c r="R11" i="2" s="1"/>
  <c r="S19" i="2"/>
  <c r="S11" i="2" s="1"/>
  <c r="U11" i="2"/>
  <c r="V11" i="2"/>
  <c r="V27" i="2" s="1"/>
  <c r="W11" i="2"/>
  <c r="W27" i="2" s="1"/>
  <c r="T11" i="2"/>
  <c r="M11" i="2"/>
  <c r="J11" i="2"/>
  <c r="K11" i="2"/>
  <c r="L11" i="2"/>
  <c r="H11" i="2"/>
  <c r="H27" i="2" s="1"/>
  <c r="G11" i="2"/>
  <c r="G27" i="2" s="1"/>
  <c r="F11" i="2"/>
  <c r="E11" i="2"/>
  <c r="E27" i="2" s="1"/>
  <c r="E72" i="1"/>
  <c r="AC79" i="2"/>
  <c r="E78" i="2"/>
  <c r="E77" i="2"/>
  <c r="E76" i="2" s="1"/>
  <c r="AD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C67" i="2"/>
  <c r="AC66" i="2"/>
  <c r="AC65" i="2"/>
  <c r="AD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C61" i="2"/>
  <c r="AC60" i="2"/>
  <c r="AC59" i="2"/>
  <c r="AC58" i="2"/>
  <c r="AD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C55" i="2" s="1"/>
  <c r="AC54" i="2"/>
  <c r="AC53" i="2"/>
  <c r="AC52" i="2"/>
  <c r="AC51" i="2"/>
  <c r="AD48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C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C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C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C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C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C34" i="2"/>
  <c r="AB33" i="2"/>
  <c r="AA33" i="2"/>
  <c r="AA47" i="2" s="1"/>
  <c r="Z33" i="2"/>
  <c r="Z47" i="2" s="1"/>
  <c r="Y33" i="2"/>
  <c r="Y47" i="2" s="1"/>
  <c r="X33" i="2"/>
  <c r="X47" i="2" s="1"/>
  <c r="W33" i="2"/>
  <c r="W47" i="2" s="1"/>
  <c r="V33" i="2"/>
  <c r="V47" i="2" s="1"/>
  <c r="U33" i="2"/>
  <c r="U47" i="2" s="1"/>
  <c r="T33" i="2"/>
  <c r="T47" i="2" s="1"/>
  <c r="S33" i="2"/>
  <c r="S47" i="2" s="1"/>
  <c r="R33" i="2"/>
  <c r="Q33" i="2"/>
  <c r="Q47" i="2" s="1"/>
  <c r="P33" i="2"/>
  <c r="P47" i="2" s="1"/>
  <c r="O33" i="2"/>
  <c r="O47" i="2" s="1"/>
  <c r="N33" i="2"/>
  <c r="N47" i="2" s="1"/>
  <c r="M33" i="2"/>
  <c r="M47" i="2" s="1"/>
  <c r="L33" i="2"/>
  <c r="L47" i="2" s="1"/>
  <c r="K33" i="2"/>
  <c r="K47" i="2" s="1"/>
  <c r="J33" i="2"/>
  <c r="J47" i="2" s="1"/>
  <c r="I33" i="2"/>
  <c r="I47" i="2" s="1"/>
  <c r="H33" i="2"/>
  <c r="H47" i="2" s="1"/>
  <c r="G33" i="2"/>
  <c r="G47" i="2" s="1"/>
  <c r="F33" i="2"/>
  <c r="F47" i="2" s="1"/>
  <c r="E33" i="2"/>
  <c r="AC32" i="2"/>
  <c r="AD29" i="2"/>
  <c r="AB27" i="2"/>
  <c r="AA27" i="2"/>
  <c r="Z27" i="2"/>
  <c r="Y27" i="2"/>
  <c r="X27" i="2"/>
  <c r="U27" i="2"/>
  <c r="Q27" i="2"/>
  <c r="P27" i="2"/>
  <c r="O27" i="2"/>
  <c r="N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C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C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C22" i="2" s="1"/>
  <c r="AC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H20" i="2"/>
  <c r="G20" i="2"/>
  <c r="F20" i="2"/>
  <c r="E20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H18" i="2"/>
  <c r="G18" i="2"/>
  <c r="F18" i="2"/>
  <c r="E18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C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C13" i="2"/>
  <c r="AB12" i="2"/>
  <c r="AA12" i="2"/>
  <c r="Z12" i="2"/>
  <c r="Y12" i="2"/>
  <c r="X12" i="2"/>
  <c r="W12" i="2"/>
  <c r="V12" i="2"/>
  <c r="U12" i="2"/>
  <c r="Q12" i="2"/>
  <c r="P12" i="2"/>
  <c r="O12" i="2"/>
  <c r="N12" i="2"/>
  <c r="G12" i="2"/>
  <c r="E12" i="2"/>
  <c r="E74" i="1"/>
  <c r="D72" i="1"/>
  <c r="AF71" i="1"/>
  <c r="AD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3" i="1"/>
  <c r="AC62" i="1"/>
  <c r="AC61" i="1"/>
  <c r="AD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C57" i="1"/>
  <c r="AC56" i="1"/>
  <c r="AC55" i="1"/>
  <c r="AC54" i="1"/>
  <c r="AD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AC51" i="1" s="1"/>
  <c r="M51" i="1"/>
  <c r="L51" i="1"/>
  <c r="K51" i="1"/>
  <c r="J51" i="1"/>
  <c r="I51" i="1"/>
  <c r="H51" i="1"/>
  <c r="G51" i="1"/>
  <c r="F51" i="1"/>
  <c r="E51" i="1"/>
  <c r="AC50" i="1"/>
  <c r="AC49" i="1"/>
  <c r="AC48" i="1"/>
  <c r="AC47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AB41" i="1"/>
  <c r="AA41" i="1"/>
  <c r="Z41" i="1"/>
  <c r="Y41" i="1"/>
  <c r="X41" i="1"/>
  <c r="W41" i="1"/>
  <c r="V41" i="1"/>
  <c r="U41" i="1"/>
  <c r="T41" i="1"/>
  <c r="S41" i="1"/>
  <c r="D41" i="1"/>
  <c r="D40" i="1"/>
  <c r="D39" i="1"/>
  <c r="D38" i="1"/>
  <c r="AC38" i="1" s="1"/>
  <c r="D37" i="1"/>
  <c r="D36" i="1"/>
  <c r="AC36" i="1" s="1"/>
  <c r="D35" i="1"/>
  <c r="AC34" i="1"/>
  <c r="D34" i="1"/>
  <c r="D33" i="1"/>
  <c r="AC32" i="1"/>
  <c r="D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AC31" i="1" s="1"/>
  <c r="D31" i="1"/>
  <c r="D30" i="1"/>
  <c r="AC30" i="1" s="1"/>
  <c r="D29" i="1"/>
  <c r="D28" i="1"/>
  <c r="AC28" i="1" s="1"/>
  <c r="AD28" i="1" s="1"/>
  <c r="AD44" i="1" s="1"/>
  <c r="D22" i="1"/>
  <c r="D21" i="1"/>
  <c r="AC21" i="1" s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D20" i="1"/>
  <c r="D19" i="1"/>
  <c r="AC19" i="1" s="1"/>
  <c r="D18" i="1"/>
  <c r="D17" i="1"/>
  <c r="AC17" i="1" s="1"/>
  <c r="D16" i="1"/>
  <c r="AH14" i="1"/>
  <c r="D14" i="1"/>
  <c r="AH13" i="1"/>
  <c r="D13" i="1"/>
  <c r="AC13" i="1" s="1"/>
  <c r="AD13" i="1" s="1"/>
  <c r="D12" i="1"/>
  <c r="D11" i="1"/>
  <c r="AC11" i="1" s="1"/>
  <c r="AD11" i="1" s="1"/>
  <c r="D10" i="1"/>
  <c r="AC9" i="1"/>
  <c r="AD9" i="1" s="1"/>
  <c r="D9" i="1"/>
  <c r="D8" i="1"/>
  <c r="AC41" i="2" l="1"/>
  <c r="R47" i="2"/>
  <c r="AA28" i="2"/>
  <c r="N28" i="2"/>
  <c r="N71" i="2" s="1"/>
  <c r="I17" i="2"/>
  <c r="I19" i="2"/>
  <c r="I11" i="2"/>
  <c r="AC45" i="2"/>
  <c r="AB47" i="2"/>
  <c r="AB48" i="2" s="1"/>
  <c r="AC24" i="2"/>
  <c r="P28" i="2"/>
  <c r="P71" i="2" s="1"/>
  <c r="O28" i="2"/>
  <c r="O71" i="2" s="1"/>
  <c r="AC39" i="2"/>
  <c r="AC26" i="2"/>
  <c r="AC37" i="2"/>
  <c r="AB28" i="2"/>
  <c r="Z70" i="2"/>
  <c r="O70" i="2"/>
  <c r="AC62" i="2"/>
  <c r="AC43" i="2"/>
  <c r="O29" i="2"/>
  <c r="AC16" i="2"/>
  <c r="AA70" i="2"/>
  <c r="AB70" i="2"/>
  <c r="X70" i="2"/>
  <c r="AB29" i="2"/>
  <c r="P29" i="2"/>
  <c r="AD80" i="2"/>
  <c r="P70" i="2"/>
  <c r="AA71" i="2"/>
  <c r="Y70" i="2"/>
  <c r="AC35" i="2"/>
  <c r="AA29" i="2"/>
  <c r="AB71" i="2"/>
  <c r="Z28" i="2"/>
  <c r="Y28" i="2"/>
  <c r="R12" i="2"/>
  <c r="R28" i="2" s="1"/>
  <c r="R71" i="2" s="1"/>
  <c r="R27" i="2"/>
  <c r="Q70" i="2"/>
  <c r="Q28" i="2"/>
  <c r="S12" i="2"/>
  <c r="S27" i="2"/>
  <c r="S70" i="2"/>
  <c r="S28" i="2"/>
  <c r="F27" i="2"/>
  <c r="F70" i="2" s="1"/>
  <c r="F12" i="2"/>
  <c r="F28" i="2" s="1"/>
  <c r="V28" i="2"/>
  <c r="T27" i="2"/>
  <c r="T70" i="2" s="1"/>
  <c r="T12" i="2"/>
  <c r="T28" i="2" s="1"/>
  <c r="V70" i="2"/>
  <c r="U70" i="2"/>
  <c r="U28" i="2"/>
  <c r="W70" i="2"/>
  <c r="W28" i="2"/>
  <c r="N29" i="2"/>
  <c r="N70" i="2"/>
  <c r="M27" i="2"/>
  <c r="M12" i="2"/>
  <c r="M70" i="2"/>
  <c r="M28" i="2"/>
  <c r="J27" i="2"/>
  <c r="J70" i="2" s="1"/>
  <c r="J12" i="2"/>
  <c r="J28" i="2" s="1"/>
  <c r="K12" i="2"/>
  <c r="K28" i="2" s="1"/>
  <c r="K71" i="2" s="1"/>
  <c r="K27" i="2"/>
  <c r="L27" i="2"/>
  <c r="L70" i="2" s="1"/>
  <c r="L12" i="2"/>
  <c r="L28" i="2" s="1"/>
  <c r="H70" i="2"/>
  <c r="H28" i="2"/>
  <c r="G70" i="2"/>
  <c r="G28" i="2"/>
  <c r="AC68" i="2"/>
  <c r="E70" i="2"/>
  <c r="AC46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7" i="2"/>
  <c r="AC33" i="2"/>
  <c r="E28" i="2"/>
  <c r="E29" i="2" s="1"/>
  <c r="AC14" i="2"/>
  <c r="X28" i="2"/>
  <c r="E73" i="1"/>
  <c r="AC75" i="1"/>
  <c r="AD72" i="1"/>
  <c r="AC64" i="1"/>
  <c r="AC58" i="1"/>
  <c r="AC42" i="1"/>
  <c r="R41" i="1"/>
  <c r="Q41" i="1"/>
  <c r="P41" i="1"/>
  <c r="O41" i="1"/>
  <c r="N41" i="1"/>
  <c r="M41" i="1"/>
  <c r="K41" i="1"/>
  <c r="J41" i="1"/>
  <c r="I41" i="1"/>
  <c r="H41" i="1"/>
  <c r="G41" i="1"/>
  <c r="F41" i="1"/>
  <c r="E41" i="1"/>
  <c r="AC40" i="1"/>
  <c r="L41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AB39" i="1"/>
  <c r="F39" i="1"/>
  <c r="E39" i="1"/>
  <c r="G39" i="1"/>
  <c r="AA39" i="1"/>
  <c r="AA37" i="1"/>
  <c r="Z37" i="1"/>
  <c r="Y37" i="1"/>
  <c r="X37" i="1"/>
  <c r="W37" i="1"/>
  <c r="V37" i="1"/>
  <c r="U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B37" i="1"/>
  <c r="T37" i="1"/>
  <c r="Z35" i="1"/>
  <c r="Y35" i="1"/>
  <c r="X35" i="1"/>
  <c r="W35" i="1"/>
  <c r="V35" i="1"/>
  <c r="U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E35" i="1"/>
  <c r="T35" i="1"/>
  <c r="F35" i="1"/>
  <c r="AB35" i="1"/>
  <c r="AA35" i="1"/>
  <c r="W33" i="1"/>
  <c r="G33" i="1"/>
  <c r="H33" i="1"/>
  <c r="I33" i="1"/>
  <c r="J33" i="1"/>
  <c r="R33" i="1"/>
  <c r="Q33" i="1"/>
  <c r="P33" i="1"/>
  <c r="AA33" i="1"/>
  <c r="O33" i="1"/>
  <c r="Z33" i="1"/>
  <c r="Y33" i="1"/>
  <c r="X33" i="1"/>
  <c r="N33" i="1"/>
  <c r="V33" i="1"/>
  <c r="U33" i="1"/>
  <c r="AB33" i="1"/>
  <c r="F33" i="1"/>
  <c r="K33" i="1"/>
  <c r="L33" i="1"/>
  <c r="M33" i="1"/>
  <c r="T33" i="1"/>
  <c r="S33" i="1"/>
  <c r="E33" i="1"/>
  <c r="AC33" i="1" s="1"/>
  <c r="T29" i="1"/>
  <c r="T43" i="1" s="1"/>
  <c r="R29" i="1"/>
  <c r="Q29" i="1"/>
  <c r="P29" i="1"/>
  <c r="O29" i="1"/>
  <c r="N29" i="1"/>
  <c r="M29" i="1"/>
  <c r="L29" i="1"/>
  <c r="K29" i="1"/>
  <c r="J29" i="1"/>
  <c r="I29" i="1"/>
  <c r="H29" i="1"/>
  <c r="S29" i="1"/>
  <c r="W29" i="1"/>
  <c r="G29" i="1"/>
  <c r="F29" i="1"/>
  <c r="E29" i="1"/>
  <c r="V29" i="1"/>
  <c r="X29" i="1"/>
  <c r="U29" i="1"/>
  <c r="AB29" i="1"/>
  <c r="AA29" i="1"/>
  <c r="Z29" i="1"/>
  <c r="Y29" i="1"/>
  <c r="V22" i="1"/>
  <c r="R22" i="1"/>
  <c r="O22" i="1"/>
  <c r="M22" i="1"/>
  <c r="G22" i="1"/>
  <c r="F22" i="1"/>
  <c r="J22" i="1"/>
  <c r="W22" i="1"/>
  <c r="I22" i="1"/>
  <c r="AB22" i="1"/>
  <c r="X22" i="1"/>
  <c r="U22" i="1"/>
  <c r="S22" i="1"/>
  <c r="N22" i="1"/>
  <c r="L22" i="1"/>
  <c r="H22" i="1"/>
  <c r="E22" i="1"/>
  <c r="Y22" i="1"/>
  <c r="P22" i="1"/>
  <c r="Q22" i="1"/>
  <c r="T22" i="1"/>
  <c r="AA22" i="1"/>
  <c r="Z22" i="1"/>
  <c r="K22" i="1"/>
  <c r="E20" i="1"/>
  <c r="N20" i="1"/>
  <c r="M20" i="1"/>
  <c r="L20" i="1"/>
  <c r="K20" i="1"/>
  <c r="J20" i="1"/>
  <c r="I20" i="1"/>
  <c r="H20" i="1"/>
  <c r="G20" i="1"/>
  <c r="F20" i="1"/>
  <c r="R18" i="1"/>
  <c r="J18" i="1"/>
  <c r="H18" i="1"/>
  <c r="G18" i="1"/>
  <c r="F18" i="1"/>
  <c r="E18" i="1"/>
  <c r="Q18" i="1"/>
  <c r="AB18" i="1"/>
  <c r="AA18" i="1"/>
  <c r="Z18" i="1"/>
  <c r="U18" i="1"/>
  <c r="V18" i="1"/>
  <c r="Y18" i="1"/>
  <c r="X18" i="1"/>
  <c r="K18" i="1"/>
  <c r="L18" i="1"/>
  <c r="M18" i="1"/>
  <c r="W18" i="1"/>
  <c r="N18" i="1"/>
  <c r="T18" i="1"/>
  <c r="S18" i="1"/>
  <c r="O18" i="1"/>
  <c r="P18" i="1"/>
  <c r="I18" i="1"/>
  <c r="AB16" i="1"/>
  <c r="D15" i="1"/>
  <c r="AC15" i="1" s="1"/>
  <c r="AD15" i="1" s="1"/>
  <c r="E16" i="1"/>
  <c r="Z16" i="1"/>
  <c r="Y16" i="1"/>
  <c r="AA16" i="1"/>
  <c r="W16" i="1"/>
  <c r="V16" i="1"/>
  <c r="U16" i="1"/>
  <c r="T16" i="1"/>
  <c r="S16" i="1"/>
  <c r="X16" i="1"/>
  <c r="I16" i="1"/>
  <c r="K16" i="1"/>
  <c r="R16" i="1"/>
  <c r="Q16" i="1"/>
  <c r="P16" i="1"/>
  <c r="O16" i="1"/>
  <c r="N16" i="1"/>
  <c r="M16" i="1"/>
  <c r="L16" i="1"/>
  <c r="J16" i="1"/>
  <c r="H16" i="1"/>
  <c r="G16" i="1"/>
  <c r="F16" i="1"/>
  <c r="AH15" i="1"/>
  <c r="T14" i="1"/>
  <c r="N14" i="1"/>
  <c r="M14" i="1"/>
  <c r="L14" i="1"/>
  <c r="K14" i="1"/>
  <c r="J14" i="1"/>
  <c r="I14" i="1"/>
  <c r="H14" i="1"/>
  <c r="G14" i="1"/>
  <c r="F14" i="1"/>
  <c r="E14" i="1"/>
  <c r="O14" i="1"/>
  <c r="P14" i="1"/>
  <c r="Q14" i="1"/>
  <c r="R14" i="1"/>
  <c r="S14" i="1"/>
  <c r="U14" i="1"/>
  <c r="V14" i="1"/>
  <c r="W14" i="1"/>
  <c r="X14" i="1"/>
  <c r="Z14" i="1"/>
  <c r="AA14" i="1"/>
  <c r="AB14" i="1"/>
  <c r="Y14" i="1"/>
  <c r="AH23" i="1"/>
  <c r="AI14" i="1" s="1"/>
  <c r="AI13" i="1"/>
  <c r="P12" i="1"/>
  <c r="L12" i="1"/>
  <c r="M12" i="1"/>
  <c r="H12" i="1"/>
  <c r="E12" i="1"/>
  <c r="F12" i="1"/>
  <c r="K12" i="1"/>
  <c r="I12" i="1"/>
  <c r="G12" i="1"/>
  <c r="J12" i="1"/>
  <c r="N12" i="1"/>
  <c r="AB12" i="1"/>
  <c r="AA12" i="1"/>
  <c r="R12" i="1"/>
  <c r="Z12" i="1"/>
  <c r="Y12" i="1"/>
  <c r="X12" i="1"/>
  <c r="W12" i="1"/>
  <c r="V12" i="1"/>
  <c r="U12" i="1"/>
  <c r="T12" i="1"/>
  <c r="S12" i="1"/>
  <c r="Q12" i="1"/>
  <c r="O12" i="1"/>
  <c r="O10" i="1"/>
  <c r="N10" i="1"/>
  <c r="K10" i="1"/>
  <c r="G10" i="1"/>
  <c r="F10" i="1"/>
  <c r="AA10" i="1"/>
  <c r="Y10" i="1"/>
  <c r="X10" i="1"/>
  <c r="V10" i="1"/>
  <c r="Q10" i="1"/>
  <c r="M10" i="1"/>
  <c r="U10" i="1"/>
  <c r="Z10" i="1"/>
  <c r="T10" i="1"/>
  <c r="R10" i="1"/>
  <c r="J10" i="1"/>
  <c r="AB10" i="1"/>
  <c r="W10" i="1"/>
  <c r="S10" i="1"/>
  <c r="P10" i="1"/>
  <c r="L10" i="1"/>
  <c r="H10" i="1"/>
  <c r="E10" i="1"/>
  <c r="I10" i="1"/>
  <c r="D7" i="1"/>
  <c r="F8" i="1"/>
  <c r="F24" i="1" s="1"/>
  <c r="H8" i="1"/>
  <c r="H24" i="1" s="1"/>
  <c r="O8" i="1"/>
  <c r="O24" i="1" s="1"/>
  <c r="W8" i="1"/>
  <c r="W24" i="1" s="1"/>
  <c r="L8" i="1"/>
  <c r="L24" i="1" s="1"/>
  <c r="U8" i="1"/>
  <c r="U24" i="1" s="1"/>
  <c r="Y8" i="1"/>
  <c r="Y24" i="1" s="1"/>
  <c r="I8" i="1"/>
  <c r="I24" i="1" s="1"/>
  <c r="M8" i="1"/>
  <c r="P8" i="1"/>
  <c r="T8" i="1"/>
  <c r="X8" i="1"/>
  <c r="AA8" i="1"/>
  <c r="K8" i="1"/>
  <c r="AB8" i="1"/>
  <c r="Z8" i="1"/>
  <c r="V8" i="1"/>
  <c r="R8" i="1"/>
  <c r="N8" i="1"/>
  <c r="E8" i="1"/>
  <c r="J8" i="1"/>
  <c r="S8" i="1"/>
  <c r="G8" i="1"/>
  <c r="Q8" i="1"/>
  <c r="AA48" i="2"/>
  <c r="W48" i="2"/>
  <c r="U48" i="2"/>
  <c r="Z48" i="2"/>
  <c r="X48" i="2"/>
  <c r="V48" i="2"/>
  <c r="Y48" i="2"/>
  <c r="I12" i="2" l="1"/>
  <c r="AC11" i="2"/>
  <c r="T71" i="2"/>
  <c r="T29" i="2"/>
  <c r="V71" i="2"/>
  <c r="V29" i="2"/>
  <c r="AC17" i="2"/>
  <c r="I18" i="2"/>
  <c r="AC19" i="2"/>
  <c r="I20" i="2"/>
  <c r="AC20" i="2" s="1"/>
  <c r="I27" i="2"/>
  <c r="O72" i="2"/>
  <c r="AA72" i="2"/>
  <c r="AB72" i="2"/>
  <c r="Z71" i="2"/>
  <c r="Z72" i="2" s="1"/>
  <c r="Z29" i="2"/>
  <c r="Y71" i="2"/>
  <c r="Y72" i="2" s="1"/>
  <c r="Y29" i="2"/>
  <c r="T72" i="2"/>
  <c r="V72" i="2"/>
  <c r="AC12" i="2"/>
  <c r="P72" i="2"/>
  <c r="R70" i="2"/>
  <c r="R72" i="2" s="1"/>
  <c r="R29" i="2"/>
  <c r="Q29" i="2"/>
  <c r="Q71" i="2"/>
  <c r="Q72" i="2" s="1"/>
  <c r="S29" i="2"/>
  <c r="S71" i="2"/>
  <c r="S72" i="2" s="1"/>
  <c r="F71" i="2"/>
  <c r="F72" i="2" s="1"/>
  <c r="F29" i="2"/>
  <c r="U29" i="2"/>
  <c r="U71" i="2"/>
  <c r="U72" i="2" s="1"/>
  <c r="W29" i="2"/>
  <c r="W71" i="2"/>
  <c r="W72" i="2" s="1"/>
  <c r="N72" i="2"/>
  <c r="M29" i="2"/>
  <c r="M71" i="2"/>
  <c r="M72" i="2" s="1"/>
  <c r="K70" i="2"/>
  <c r="K29" i="2"/>
  <c r="L29" i="2"/>
  <c r="L71" i="2"/>
  <c r="L72" i="2" s="1"/>
  <c r="J29" i="2"/>
  <c r="J71" i="2"/>
  <c r="J72" i="2" s="1"/>
  <c r="H29" i="2"/>
  <c r="H71" i="2"/>
  <c r="H72" i="2" s="1"/>
  <c r="G29" i="2"/>
  <c r="G71" i="2"/>
  <c r="G72" i="2" s="1"/>
  <c r="AC47" i="2"/>
  <c r="AC48" i="2" s="1"/>
  <c r="E48" i="2"/>
  <c r="E71" i="2"/>
  <c r="E72" i="2" s="1"/>
  <c r="X29" i="2"/>
  <c r="X71" i="2"/>
  <c r="X72" i="2" s="1"/>
  <c r="T44" i="1"/>
  <c r="T67" i="1"/>
  <c r="AC29" i="1"/>
  <c r="E43" i="1"/>
  <c r="G23" i="1"/>
  <c r="M23" i="1"/>
  <c r="R23" i="1"/>
  <c r="AC7" i="1"/>
  <c r="AD7" i="1" s="1"/>
  <c r="AD25" i="1" s="1"/>
  <c r="AD76" i="1" s="1"/>
  <c r="J23" i="1"/>
  <c r="K23" i="1"/>
  <c r="L23" i="1"/>
  <c r="F23" i="1"/>
  <c r="I23" i="1"/>
  <c r="N23" i="1"/>
  <c r="O23" i="1"/>
  <c r="Q23" i="1"/>
  <c r="S23" i="1"/>
  <c r="T23" i="1"/>
  <c r="U23" i="1"/>
  <c r="V23" i="1"/>
  <c r="W23" i="1"/>
  <c r="X23" i="1"/>
  <c r="Y23" i="1"/>
  <c r="Z23" i="1"/>
  <c r="AA23" i="1"/>
  <c r="AB23" i="1"/>
  <c r="E23" i="1"/>
  <c r="H23" i="1"/>
  <c r="P23" i="1"/>
  <c r="AC8" i="1"/>
  <c r="E24" i="1"/>
  <c r="AC24" i="1" s="1"/>
  <c r="AC41" i="1"/>
  <c r="AC39" i="1"/>
  <c r="AC37" i="1"/>
  <c r="AC35" i="1"/>
  <c r="R43" i="1"/>
  <c r="Q43" i="1"/>
  <c r="P43" i="1"/>
  <c r="AC14" i="1"/>
  <c r="AC12" i="1"/>
  <c r="O43" i="1"/>
  <c r="N43" i="1"/>
  <c r="M43" i="1"/>
  <c r="L43" i="1"/>
  <c r="K43" i="1"/>
  <c r="J43" i="1"/>
  <c r="I43" i="1"/>
  <c r="H43" i="1"/>
  <c r="S43" i="1"/>
  <c r="W43" i="1"/>
  <c r="G43" i="1"/>
  <c r="F43" i="1"/>
  <c r="V43" i="1"/>
  <c r="X43" i="1"/>
  <c r="U43" i="1"/>
  <c r="AC20" i="1"/>
  <c r="AC18" i="1"/>
  <c r="AI15" i="1"/>
  <c r="AB43" i="1"/>
  <c r="AA43" i="1"/>
  <c r="Z43" i="1"/>
  <c r="Y43" i="1"/>
  <c r="AC22" i="1"/>
  <c r="AC16" i="1"/>
  <c r="AC10" i="1"/>
  <c r="M24" i="1"/>
  <c r="P24" i="1"/>
  <c r="T24" i="1"/>
  <c r="X24" i="1"/>
  <c r="AA24" i="1"/>
  <c r="K24" i="1"/>
  <c r="AB24" i="1"/>
  <c r="Z24" i="1"/>
  <c r="V24" i="1"/>
  <c r="R24" i="1"/>
  <c r="N24" i="1"/>
  <c r="J24" i="1"/>
  <c r="S24" i="1"/>
  <c r="G24" i="1"/>
  <c r="Q24" i="1"/>
  <c r="I70" i="2" l="1"/>
  <c r="AC27" i="2"/>
  <c r="I28" i="2"/>
  <c r="AC18" i="2"/>
  <c r="K72" i="2"/>
  <c r="AC70" i="2"/>
  <c r="E73" i="2"/>
  <c r="F73" i="2" s="1"/>
  <c r="G73" i="2" s="1"/>
  <c r="H73" i="2" s="1"/>
  <c r="E44" i="1"/>
  <c r="E67" i="1"/>
  <c r="AC67" i="1" s="1"/>
  <c r="AC43" i="1"/>
  <c r="AC44" i="1" s="1"/>
  <c r="G66" i="1"/>
  <c r="G68" i="1" s="1"/>
  <c r="G25" i="1"/>
  <c r="M66" i="1"/>
  <c r="M68" i="1" s="1"/>
  <c r="M25" i="1"/>
  <c r="R66" i="1"/>
  <c r="R68" i="1" s="1"/>
  <c r="R25" i="1"/>
  <c r="J66" i="1"/>
  <c r="J68" i="1" s="1"/>
  <c r="J25" i="1"/>
  <c r="K66" i="1"/>
  <c r="K68" i="1" s="1"/>
  <c r="K25" i="1"/>
  <c r="L66" i="1"/>
  <c r="L68" i="1" s="1"/>
  <c r="L25" i="1"/>
  <c r="F66" i="1"/>
  <c r="F25" i="1"/>
  <c r="I66" i="1"/>
  <c r="I25" i="1"/>
  <c r="N66" i="1"/>
  <c r="N25" i="1"/>
  <c r="O66" i="1"/>
  <c r="O25" i="1"/>
  <c r="Q66" i="1"/>
  <c r="Q25" i="1"/>
  <c r="S66" i="1"/>
  <c r="S25" i="1"/>
  <c r="T66" i="1"/>
  <c r="T68" i="1" s="1"/>
  <c r="T25" i="1"/>
  <c r="U66" i="1"/>
  <c r="U25" i="1"/>
  <c r="V66" i="1"/>
  <c r="V25" i="1"/>
  <c r="W66" i="1"/>
  <c r="W25" i="1"/>
  <c r="X66" i="1"/>
  <c r="X25" i="1"/>
  <c r="Y66" i="1"/>
  <c r="Y25" i="1"/>
  <c r="Z66" i="1"/>
  <c r="Z25" i="1"/>
  <c r="AA66" i="1"/>
  <c r="AA25" i="1"/>
  <c r="AB66" i="1"/>
  <c r="AB25" i="1"/>
  <c r="E66" i="1"/>
  <c r="AC23" i="1"/>
  <c r="AC25" i="1" s="1"/>
  <c r="AF73" i="1" s="1"/>
  <c r="E25" i="1"/>
  <c r="H66" i="1"/>
  <c r="H25" i="1"/>
  <c r="P66" i="1"/>
  <c r="P25" i="1"/>
  <c r="R67" i="1"/>
  <c r="R44" i="1"/>
  <c r="Q67" i="1"/>
  <c r="Q44" i="1"/>
  <c r="P67" i="1"/>
  <c r="P44" i="1"/>
  <c r="O67" i="1"/>
  <c r="O44" i="1"/>
  <c r="N67" i="1"/>
  <c r="N44" i="1"/>
  <c r="M67" i="1"/>
  <c r="M44" i="1"/>
  <c r="L67" i="1"/>
  <c r="L44" i="1"/>
  <c r="K67" i="1"/>
  <c r="K44" i="1"/>
  <c r="J67" i="1"/>
  <c r="J44" i="1"/>
  <c r="I67" i="1"/>
  <c r="I44" i="1"/>
  <c r="H67" i="1"/>
  <c r="H44" i="1"/>
  <c r="S67" i="1"/>
  <c r="S44" i="1"/>
  <c r="W67" i="1"/>
  <c r="W44" i="1"/>
  <c r="G67" i="1"/>
  <c r="G44" i="1"/>
  <c r="F67" i="1"/>
  <c r="F44" i="1"/>
  <c r="V67" i="1"/>
  <c r="V44" i="1"/>
  <c r="X67" i="1"/>
  <c r="X44" i="1"/>
  <c r="U67" i="1"/>
  <c r="U44" i="1"/>
  <c r="AB67" i="1"/>
  <c r="AB44" i="1"/>
  <c r="AA67" i="1"/>
  <c r="AA44" i="1"/>
  <c r="Z67" i="1"/>
  <c r="Z44" i="1"/>
  <c r="Y67" i="1"/>
  <c r="Y44" i="1"/>
  <c r="I71" i="2" l="1"/>
  <c r="I29" i="2"/>
  <c r="AC28" i="2"/>
  <c r="AC29" i="2" s="1"/>
  <c r="E68" i="1"/>
  <c r="AC66" i="1"/>
  <c r="F68" i="1"/>
  <c r="I68" i="1"/>
  <c r="U68" i="1"/>
  <c r="N68" i="1"/>
  <c r="O68" i="1"/>
  <c r="Q68" i="1"/>
  <c r="S68" i="1"/>
  <c r="V68" i="1"/>
  <c r="W68" i="1"/>
  <c r="X68" i="1"/>
  <c r="Z68" i="1"/>
  <c r="Y68" i="1"/>
  <c r="AA68" i="1"/>
  <c r="AB68" i="1"/>
  <c r="H68" i="1"/>
  <c r="P68" i="1"/>
  <c r="AC71" i="2" l="1"/>
  <c r="I72" i="2"/>
  <c r="AC68" i="1"/>
  <c r="AC76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72" i="2" l="1"/>
  <c r="AC80" i="2" s="1"/>
  <c r="I73" i="2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H45" i="1"/>
  <c r="AI45" i="1" s="1"/>
  <c r="AH26" i="1"/>
</calcChain>
</file>

<file path=xl/sharedStrings.xml><?xml version="1.0" encoding="utf-8"?>
<sst xmlns="http://schemas.openxmlformats.org/spreadsheetml/2006/main" count="212" uniqueCount="78">
  <si>
    <t>ANLAGE 9 - KOSTENPLAN</t>
  </si>
  <si>
    <t>Monat</t>
  </si>
  <si>
    <t>[MMM JJ]</t>
  </si>
  <si>
    <t>TOTAL</t>
  </si>
  <si>
    <t>Kalkulierter 
BW Effekt</t>
  </si>
  <si>
    <t>FERTIGUNGSKOSTEN</t>
  </si>
  <si>
    <t>(Freie) Mitarbeiter</t>
  </si>
  <si>
    <t>Kosten / MT</t>
  </si>
  <si>
    <t>Kosten / Rückst.</t>
  </si>
  <si>
    <t>Manntage</t>
  </si>
  <si>
    <t>Programmierung</t>
  </si>
  <si>
    <t>Rückstellung</t>
  </si>
  <si>
    <t>Art / Animation</t>
  </si>
  <si>
    <t>Audio</t>
  </si>
  <si>
    <t>Design</t>
  </si>
  <si>
    <t>Headup</t>
  </si>
  <si>
    <t>Creact</t>
  </si>
  <si>
    <t>Projektmanagement</t>
  </si>
  <si>
    <t>MFG</t>
  </si>
  <si>
    <t>Qualitätssicherung</t>
  </si>
  <si>
    <t>[sonstige Funktion]</t>
  </si>
  <si>
    <t>Kosten monatlich</t>
  </si>
  <si>
    <t>Gesamt</t>
  </si>
  <si>
    <t>Rückstellung monatlich</t>
  </si>
  <si>
    <t>Outsourcing</t>
  </si>
  <si>
    <t>Lokalisierung</t>
  </si>
  <si>
    <t>[sonstige Dienstleistung]</t>
  </si>
  <si>
    <t>Sachkosten</t>
  </si>
  <si>
    <t>Absolut in Euro</t>
  </si>
  <si>
    <t>[Hardware]</t>
  </si>
  <si>
    <t>[Eigen-Beistellung]</t>
  </si>
  <si>
    <t>[Beistellung Dritter]</t>
  </si>
  <si>
    <t>[Sonstige]</t>
  </si>
  <si>
    <t>Monatlich</t>
  </si>
  <si>
    <t>Lizenzen</t>
  </si>
  <si>
    <t>Microsoft 365 &amp; Cloud für Audioresourcen</t>
  </si>
  <si>
    <t>[Middleware]</t>
  </si>
  <si>
    <t>[Sonstige Lizenz]</t>
  </si>
  <si>
    <t xml:space="preserve">Sonstige </t>
  </si>
  <si>
    <t>Marketing &amp; Vertrieb*</t>
  </si>
  <si>
    <t>Equipmentmiete</t>
  </si>
  <si>
    <t>[Sonstige Kosten]</t>
  </si>
  <si>
    <t>Fertigungskosten monatlich exkl. Rückstellungen</t>
  </si>
  <si>
    <t>Miete Container</t>
  </si>
  <si>
    <t>Rückstellungen gesamt</t>
  </si>
  <si>
    <t>Fertigungskosten monatlich inkl. Rückstellungen</t>
  </si>
  <si>
    <t>Fertigungskosten kumuliert inkl. Rückstellungen</t>
  </si>
  <si>
    <t>NEBENKOSTEN</t>
  </si>
  <si>
    <t>Handlungskosten**</t>
  </si>
  <si>
    <t>Pauschal</t>
  </si>
  <si>
    <t>Rückstellung Handlungskosten</t>
  </si>
  <si>
    <t>PWC-Prüfgebühr***</t>
  </si>
  <si>
    <t>Einmalig</t>
  </si>
  <si>
    <t>BW-Effekt Gesamt</t>
  </si>
  <si>
    <t>Nebenkosten gesamt</t>
  </si>
  <si>
    <t>GESAMTHERSTELLUNGSKOSTEN</t>
  </si>
  <si>
    <t>Legende</t>
  </si>
  <si>
    <t>Eingabefeld</t>
  </si>
  <si>
    <t>[Eingabe]</t>
  </si>
  <si>
    <t>Ausgabefeld</t>
  </si>
  <si>
    <t>[Ausgabe]</t>
  </si>
  <si>
    <t>Bitte passen Sie die Tabelle Ihren Bedürfnissen an. .</t>
  </si>
  <si>
    <t>* Vertriebs- und Marketingkosten</t>
  </si>
  <si>
    <t>Dürfen maximal 25% der Gesdamtherstellungskosten betragen</t>
  </si>
  <si>
    <t>** Handlungskosten</t>
  </si>
  <si>
    <t>Dürfen pauschal maximal 7,5% der Fertigungskosten betragen</t>
  </si>
  <si>
    <t>*** PWC-Prüfgebühr</t>
  </si>
  <si>
    <t>Richtet sich je nach Fördersumme nach den in den Merkblättern vermerkten Angaben. Kann nicht dem BW Effekt angerechnet werden</t>
  </si>
  <si>
    <t>IST-KOSTEN (Schlusskostenstand-Basis) – Projektzeitraum Feb 2025 bis Aug 2026. Beträge bitte als Euro (netto) pro Monat eintragen.</t>
  </si>
  <si>
    <t>Rückst. %</t>
  </si>
  <si>
    <t>[Markenlizenz]</t>
  </si>
  <si>
    <t>Mieten</t>
  </si>
  <si>
    <t>Fehlende Kosten Simon</t>
  </si>
  <si>
    <t>Prozent an SD</t>
  </si>
  <si>
    <t>Kosten laut Gehalt</t>
  </si>
  <si>
    <t>Eigentliche Kosten</t>
  </si>
  <si>
    <t>Kosten noch zurück zahl</t>
  </si>
  <si>
    <t>Gezahltes Gehalt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</si>
</sst>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-yy"/>
    <numFmt numFmtId="165" formatCode="#,##0.00\ [$€-1]"/>
    <numFmt numFmtId="166" formatCode="#,##0\ [$€-1]"/>
    <numFmt numFmtId="167" formatCode="0.0"/>
    <numFmt numFmtId="168" formatCode="_(\$* #,##0.00_);_(\$* \(#,##0.00\);_(\$* \-??_);_(@_)"/>
    <numFmt numFmtId="169" formatCode="_-* #,##0&quot; €&quot;_-;\-* #,##0&quot; €&quot;_-;_-* \-??&quot; €&quot;_-;_-@_-"/>
    <numFmt numFmtId="170" formatCode="_-* #,##0.00&quot; €&quot;_-;\-* #,##0.00&quot; €&quot;_-;_-* \-??&quot; €&quot;_-;_-@_-"/>
  </numFmts>
  <fonts count="19" x14ac:knownFonts="1">
    <font>
      <sz val="10"/>
      <color rgb="FF000000"/>
      <name val="Arial"/>
      <charset val="1"/>
    </font>
    <font>
      <sz val="9"/>
      <color rgb="FF000000"/>
      <name val="Open Sans"/>
      <family val="2"/>
      <charset val="1"/>
    </font>
    <font>
      <b/>
      <sz val="9"/>
      <color rgb="FF000000"/>
      <name val="Open Sans"/>
      <family val="2"/>
      <charset val="1"/>
    </font>
    <font>
      <b/>
      <sz val="8"/>
      <color rgb="FF274E13"/>
      <name val="Open Sans"/>
      <charset val="1"/>
    </font>
    <font>
      <sz val="8"/>
      <color rgb="FF274E13"/>
      <name val="Open Sans"/>
      <family val="2"/>
      <charset val="1"/>
    </font>
    <font>
      <sz val="10"/>
      <color rgb="FF000000"/>
      <name val="Open Sans"/>
      <family val="2"/>
      <charset val="1"/>
    </font>
    <font>
      <b/>
      <sz val="8"/>
      <color rgb="FF000000"/>
      <name val="Open Sans"/>
      <family val="2"/>
      <charset val="1"/>
    </font>
    <font>
      <sz val="8"/>
      <color rgb="FF4D4D4D"/>
      <name val="Open Sans"/>
      <family val="2"/>
      <charset val="1"/>
    </font>
    <font>
      <sz val="8"/>
      <color rgb="FF000000"/>
      <name val="Open Sans"/>
      <family val="2"/>
      <charset val="1"/>
    </font>
    <font>
      <b/>
      <sz val="8"/>
      <color rgb="FF274E13"/>
      <name val="Open Sans"/>
      <family val="2"/>
      <charset val="1"/>
    </font>
    <font>
      <sz val="10"/>
      <color rgb="FF000000"/>
      <name val="Arial"/>
      <family val="2"/>
      <charset val="1"/>
    </font>
    <font>
      <b/>
      <sz val="8"/>
      <color rgb="FF4D4D4D"/>
      <name val="Open Sans"/>
      <family val="2"/>
      <charset val="1"/>
    </font>
    <font>
      <b/>
      <sz val="9"/>
      <name val="Open Sans"/>
      <family val="2"/>
      <charset val="1"/>
    </font>
    <font>
      <b/>
      <sz val="8"/>
      <name val="Open Sans"/>
      <family val="2"/>
      <charset val="1"/>
    </font>
    <font>
      <sz val="10"/>
      <color theme="1"/>
      <name val="Open Sans"/>
      <family val="2"/>
      <charset val="1"/>
    </font>
    <font>
      <b/>
      <sz val="10"/>
      <color rgb="FF000000"/>
      <name val="Open Sans"/>
      <family val="2"/>
      <charset val="1"/>
    </font>
    <font>
      <sz val="10"/>
      <color rgb="FF1F497D"/>
      <name val="Arial"/>
      <family val="2"/>
      <charset val="1"/>
    </font>
    <font>
      <b/>
      <sz val="6"/>
      <color rgb="FF000000"/>
      <name val="Open Sans"/>
      <family val="2"/>
      <charset val="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D9D9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rgb="FFEFEFEF"/>
        <bgColor rgb="FFF2F2F2"/>
      </patternFill>
    </fill>
    <fill>
      <patternFill patternType="solid">
        <fgColor rgb="FFF3F3F3"/>
        <bgColor rgb="FFF2F2F2"/>
      </patternFill>
    </fill>
    <fill>
      <patternFill patternType="solid">
        <fgColor theme="0" tint="-0.14999847407452621"/>
        <bgColor rgb="FFCFE2F3"/>
      </patternFill>
    </fill>
    <fill>
      <patternFill patternType="solid">
        <fgColor theme="0"/>
        <bgColor rgb="FFF3F3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theme="8" tint="0.79989013336588644"/>
        <bgColor rgb="FFF3F3F3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theme="0" tint="-0.499984740745262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rgb="FF666666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theme="0" tint="-0.499984740745262"/>
      </right>
      <top/>
      <bottom style="hair">
        <color theme="0" tint="-0.34998626667073579"/>
      </bottom>
      <diagonal/>
    </border>
    <border>
      <left/>
      <right style="medium">
        <color auto="1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499984740745262"/>
      </right>
      <top style="hair">
        <color theme="0" tint="-0.34998626667073579"/>
      </top>
      <bottom/>
      <diagonal/>
    </border>
    <border>
      <left style="medium">
        <color auto="1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medium">
        <color auto="1"/>
      </right>
      <top/>
      <bottom style="hair">
        <color theme="0" tint="-0.499984740745262"/>
      </bottom>
      <diagonal/>
    </border>
    <border>
      <left style="medium">
        <color auto="1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auto="1"/>
      </left>
      <right/>
      <top style="hair">
        <color theme="0" tint="-0.499984740745262"/>
      </top>
      <bottom style="thin">
        <color auto="1"/>
      </bottom>
      <diagonal/>
    </border>
    <border>
      <left/>
      <right/>
      <top style="hair">
        <color theme="0" tint="-0.499984740745262"/>
      </top>
      <bottom style="thin">
        <color auto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auto="1"/>
      </bottom>
      <diagonal/>
    </border>
    <border>
      <left/>
      <right style="medium">
        <color auto="1"/>
      </right>
      <top style="hair">
        <color theme="0" tint="-0.499984740745262"/>
      </top>
      <bottom style="thin">
        <color auto="1"/>
      </bottom>
      <diagonal/>
    </border>
    <border>
      <left/>
      <right style="dotted">
        <color theme="0" tint="-0.499984740745262"/>
      </right>
      <top/>
      <bottom style="hair">
        <color theme="0" tint="-0.34998626667073579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auto="1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auto="1"/>
      </bottom>
      <diagonal/>
    </border>
    <border>
      <left/>
      <right style="medium">
        <color auto="1"/>
      </right>
      <top style="hair">
        <color theme="0" tint="-0.34998626667073579"/>
      </top>
      <bottom style="thin">
        <color auto="1"/>
      </bottom>
      <diagonal/>
    </border>
    <border>
      <left/>
      <right style="hair">
        <color rgb="FF274E13"/>
      </right>
      <top/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rgb="FF274E13"/>
      </right>
      <top/>
      <bottom style="thin">
        <color auto="1"/>
      </bottom>
      <diagonal/>
    </border>
    <border>
      <left/>
      <right style="hair">
        <color rgb="FF274E13"/>
      </right>
      <top/>
      <bottom/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theme="0" tint="-0.34998626667073579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hair">
        <color theme="0" tint="-0.34998626667073579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8" fontId="10" fillId="0" borderId="0"/>
    <xf numFmtId="9" fontId="10" fillId="0" borderId="0"/>
  </cellStyleXfs>
  <cellXfs count="189">
    <xf numFmtId="0" fontId="0" fillId="0" borderId="0" xfId="0"/>
    <xf numFmtId="0" fontId="2" fillId="3" borderId="9" xfId="0" applyFont="1" applyFill="1" applyBorder="1" applyAlignment="1">
      <alignment horizontal="left" vertical="center"/>
    </xf>
    <xf numFmtId="4" fontId="2" fillId="3" borderId="9" xfId="0" applyNumberFormat="1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5" fontId="8" fillId="0" borderId="8" xfId="0" applyNumberFormat="1" applyFont="1" applyBorder="1" applyAlignment="1">
      <alignment horizontal="left" vertical="center"/>
    </xf>
    <xf numFmtId="169" fontId="9" fillId="2" borderId="32" xfId="1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169" fontId="9" fillId="2" borderId="14" xfId="1" applyNumberFormat="1" applyFont="1" applyFill="1" applyBorder="1" applyAlignment="1">
      <alignment horizontal="center" vertical="center"/>
    </xf>
    <xf numFmtId="165" fontId="6" fillId="4" borderId="10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164" fontId="3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8" xfId="0" applyFont="1" applyBorder="1"/>
    <xf numFmtId="0" fontId="5" fillId="0" borderId="0" xfId="0" applyFont="1"/>
    <xf numFmtId="0" fontId="2" fillId="3" borderId="9" xfId="0" applyFont="1" applyFill="1" applyBorder="1"/>
    <xf numFmtId="0" fontId="6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65" fontId="1" fillId="0" borderId="10" xfId="0" applyNumberFormat="1" applyFont="1" applyBorder="1"/>
    <xf numFmtId="0" fontId="0" fillId="0" borderId="11" xfId="0" applyBorder="1"/>
    <xf numFmtId="0" fontId="8" fillId="0" borderId="8" xfId="0" applyFont="1" applyBorder="1"/>
    <xf numFmtId="166" fontId="9" fillId="2" borderId="12" xfId="0" applyNumberFormat="1" applyFont="1" applyFill="1" applyBorder="1" applyAlignment="1">
      <alignment vertical="top"/>
    </xf>
    <xf numFmtId="166" fontId="7" fillId="3" borderId="12" xfId="0" applyNumberFormat="1" applyFont="1" applyFill="1" applyBorder="1" applyAlignment="1">
      <alignment vertical="top"/>
    </xf>
    <xf numFmtId="167" fontId="9" fillId="2" borderId="12" xfId="0" applyNumberFormat="1" applyFont="1" applyFill="1" applyBorder="1" applyAlignment="1">
      <alignment vertical="center"/>
    </xf>
    <xf numFmtId="167" fontId="9" fillId="2" borderId="13" xfId="0" applyNumberFormat="1" applyFont="1" applyFill="1" applyBorder="1" applyAlignment="1">
      <alignment vertical="center"/>
    </xf>
    <xf numFmtId="166" fontId="6" fillId="5" borderId="12" xfId="1" applyNumberFormat="1" applyFont="1" applyFill="1" applyBorder="1" applyAlignment="1">
      <alignment vertical="center"/>
    </xf>
    <xf numFmtId="0" fontId="7" fillId="0" borderId="8" xfId="0" applyFont="1" applyBorder="1"/>
    <xf numFmtId="9" fontId="9" fillId="2" borderId="12" xfId="2" applyFont="1" applyFill="1" applyBorder="1" applyAlignment="1">
      <alignment horizontal="right" vertical="top"/>
    </xf>
    <xf numFmtId="166" fontId="7" fillId="3" borderId="12" xfId="0" applyNumberFormat="1" applyFont="1" applyFill="1" applyBorder="1" applyAlignment="1">
      <alignment horizontal="right" vertical="top"/>
    </xf>
    <xf numFmtId="166" fontId="7" fillId="5" borderId="0" xfId="0" applyNumberFormat="1" applyFont="1" applyFill="1" applyAlignment="1">
      <alignment horizontal="right" vertical="center"/>
    </xf>
    <xf numFmtId="166" fontId="7" fillId="5" borderId="6" xfId="0" applyNumberFormat="1" applyFont="1" applyFill="1" applyBorder="1" applyAlignment="1">
      <alignment horizontal="right" vertical="center"/>
    </xf>
    <xf numFmtId="166" fontId="11" fillId="5" borderId="12" xfId="1" applyNumberFormat="1" applyFont="1" applyFill="1" applyBorder="1" applyAlignment="1">
      <alignment horizontal="right" vertical="center"/>
    </xf>
    <xf numFmtId="166" fontId="9" fillId="2" borderId="15" xfId="0" applyNumberFormat="1" applyFont="1" applyFill="1" applyBorder="1" applyAlignment="1">
      <alignment horizontal="right" vertical="top"/>
    </xf>
    <xf numFmtId="166" fontId="7" fillId="3" borderId="15" xfId="0" applyNumberFormat="1" applyFont="1" applyFill="1" applyBorder="1" applyAlignment="1">
      <alignment horizontal="right" vertical="top"/>
    </xf>
    <xf numFmtId="167" fontId="9" fillId="2" borderId="15" xfId="0" applyNumberFormat="1" applyFont="1" applyFill="1" applyBorder="1" applyAlignment="1">
      <alignment vertical="center"/>
    </xf>
    <xf numFmtId="167" fontId="9" fillId="2" borderId="16" xfId="0" applyNumberFormat="1" applyFont="1" applyFill="1" applyBorder="1" applyAlignment="1">
      <alignment vertical="center"/>
    </xf>
    <xf numFmtId="165" fontId="8" fillId="0" borderId="8" xfId="0" applyNumberFormat="1" applyFont="1" applyBorder="1"/>
    <xf numFmtId="4" fontId="8" fillId="0" borderId="8" xfId="0" applyNumberFormat="1" applyFont="1" applyBorder="1"/>
    <xf numFmtId="166" fontId="9" fillId="2" borderId="17" xfId="0" applyNumberFormat="1" applyFont="1" applyFill="1" applyBorder="1" applyAlignment="1">
      <alignment horizontal="right" vertical="top"/>
    </xf>
    <xf numFmtId="166" fontId="7" fillId="3" borderId="17" xfId="0" applyNumberFormat="1" applyFont="1" applyFill="1" applyBorder="1" applyAlignment="1">
      <alignment horizontal="right" vertical="top"/>
    </xf>
    <xf numFmtId="167" fontId="9" fillId="2" borderId="17" xfId="0" applyNumberFormat="1" applyFont="1" applyFill="1" applyBorder="1" applyAlignment="1">
      <alignment vertical="center"/>
    </xf>
    <xf numFmtId="167" fontId="9" fillId="2" borderId="18" xfId="0" applyNumberFormat="1" applyFont="1" applyFill="1" applyBorder="1" applyAlignment="1">
      <alignment vertical="center"/>
    </xf>
    <xf numFmtId="0" fontId="6" fillId="5" borderId="19" xfId="0" applyFont="1" applyFill="1" applyBorder="1"/>
    <xf numFmtId="4" fontId="6" fillId="5" borderId="20" xfId="0" applyNumberFormat="1" applyFont="1" applyFill="1" applyBorder="1"/>
    <xf numFmtId="166" fontId="6" fillId="5" borderId="20" xfId="0" applyNumberFormat="1" applyFont="1" applyFill="1" applyBorder="1"/>
    <xf numFmtId="0" fontId="6" fillId="5" borderId="22" xfId="0" applyFont="1" applyFill="1" applyBorder="1"/>
    <xf numFmtId="4" fontId="6" fillId="5" borderId="23" xfId="0" applyNumberFormat="1" applyFont="1" applyFill="1" applyBorder="1"/>
    <xf numFmtId="166" fontId="6" fillId="5" borderId="23" xfId="0" applyNumberFormat="1" applyFont="1" applyFill="1" applyBorder="1"/>
    <xf numFmtId="166" fontId="6" fillId="5" borderId="24" xfId="0" applyNumberFormat="1" applyFont="1" applyFill="1" applyBorder="1"/>
    <xf numFmtId="0" fontId="2" fillId="5" borderId="25" xfId="0" applyFont="1" applyFill="1" applyBorder="1"/>
    <xf numFmtId="4" fontId="2" fillId="5" borderId="26" xfId="0" applyNumberFormat="1" applyFont="1" applyFill="1" applyBorder="1"/>
    <xf numFmtId="166" fontId="2" fillId="5" borderId="26" xfId="0" applyNumberFormat="1" applyFont="1" applyFill="1" applyBorder="1"/>
    <xf numFmtId="166" fontId="2" fillId="5" borderId="27" xfId="0" applyNumberFormat="1" applyFont="1" applyFill="1" applyBorder="1"/>
    <xf numFmtId="166" fontId="2" fillId="6" borderId="26" xfId="0" applyNumberFormat="1" applyFont="1" applyFill="1" applyBorder="1"/>
    <xf numFmtId="169" fontId="12" fillId="6" borderId="28" xfId="1" applyNumberFormat="1" applyFont="1" applyFill="1" applyBorder="1" applyAlignment="1">
      <alignment vertical="center"/>
    </xf>
    <xf numFmtId="0" fontId="2" fillId="7" borderId="8" xfId="0" applyFont="1" applyFill="1" applyBorder="1"/>
    <xf numFmtId="4" fontId="2" fillId="7" borderId="0" xfId="0" applyNumberFormat="1" applyFont="1" applyFill="1"/>
    <xf numFmtId="166" fontId="6" fillId="7" borderId="0" xfId="0" applyNumberFormat="1" applyFont="1" applyFill="1"/>
    <xf numFmtId="165" fontId="2" fillId="7" borderId="0" xfId="0" applyNumberFormat="1" applyFont="1" applyFill="1"/>
    <xf numFmtId="0" fontId="0" fillId="0" borderId="7" xfId="0" applyBorder="1"/>
    <xf numFmtId="165" fontId="0" fillId="0" borderId="0" xfId="0" applyNumberFormat="1"/>
    <xf numFmtId="165" fontId="2" fillId="3" borderId="9" xfId="0" applyNumberFormat="1" applyFont="1" applyFill="1" applyBorder="1"/>
    <xf numFmtId="167" fontId="9" fillId="2" borderId="29" xfId="0" applyNumberFormat="1" applyFont="1" applyFill="1" applyBorder="1" applyAlignment="1">
      <alignment vertical="center"/>
    </xf>
    <xf numFmtId="166" fontId="7" fillId="5" borderId="30" xfId="0" applyNumberFormat="1" applyFont="1" applyFill="1" applyBorder="1" applyAlignment="1">
      <alignment horizontal="right" vertical="center"/>
    </xf>
    <xf numFmtId="167" fontId="9" fillId="2" borderId="31" xfId="0" applyNumberFormat="1" applyFont="1" applyFill="1" applyBorder="1" applyAlignment="1">
      <alignment vertical="center"/>
    </xf>
    <xf numFmtId="166" fontId="6" fillId="5" borderId="33" xfId="0" applyNumberFormat="1" applyFont="1" applyFill="1" applyBorder="1"/>
    <xf numFmtId="166" fontId="6" fillId="5" borderId="34" xfId="0" applyNumberFormat="1" applyFont="1" applyFill="1" applyBorder="1"/>
    <xf numFmtId="166" fontId="6" fillId="5" borderId="35" xfId="0" applyNumberFormat="1" applyFont="1" applyFill="1" applyBorder="1"/>
    <xf numFmtId="166" fontId="2" fillId="5" borderId="36" xfId="0" applyNumberFormat="1" applyFont="1" applyFill="1" applyBorder="1"/>
    <xf numFmtId="166" fontId="2" fillId="5" borderId="37" xfId="0" applyNumberFormat="1" applyFont="1" applyFill="1" applyBorder="1"/>
    <xf numFmtId="166" fontId="2" fillId="6" borderId="36" xfId="0" applyNumberFormat="1" applyFont="1" applyFill="1" applyBorder="1"/>
    <xf numFmtId="169" fontId="12" fillId="6" borderId="38" xfId="1" applyNumberFormat="1" applyFont="1" applyFill="1" applyBorder="1" applyAlignment="1">
      <alignment vertical="center"/>
    </xf>
    <xf numFmtId="166" fontId="6" fillId="7" borderId="0" xfId="0" applyNumberFormat="1" applyFont="1" applyFill="1" applyAlignment="1">
      <alignment horizontal="right" vertical="top"/>
    </xf>
    <xf numFmtId="4" fontId="2" fillId="3" borderId="9" xfId="0" applyNumberFormat="1" applyFont="1" applyFill="1" applyBorder="1"/>
    <xf numFmtId="3" fontId="1" fillId="3" borderId="10" xfId="0" applyNumberFormat="1" applyFont="1" applyFill="1" applyBorder="1"/>
    <xf numFmtId="166" fontId="4" fillId="2" borderId="12" xfId="0" applyNumberFormat="1" applyFont="1" applyFill="1" applyBorder="1"/>
    <xf numFmtId="166" fontId="4" fillId="2" borderId="39" xfId="0" applyNumberFormat="1" applyFont="1" applyFill="1" applyBorder="1"/>
    <xf numFmtId="165" fontId="6" fillId="5" borderId="12" xfId="0" applyNumberFormat="1" applyFont="1" applyFill="1" applyBorder="1"/>
    <xf numFmtId="169" fontId="9" fillId="2" borderId="7" xfId="1" applyNumberFormat="1" applyFont="1" applyFill="1" applyBorder="1" applyAlignment="1">
      <alignment vertical="center"/>
    </xf>
    <xf numFmtId="166" fontId="4" fillId="2" borderId="15" xfId="0" applyNumberFormat="1" applyFont="1" applyFill="1" applyBorder="1"/>
    <xf numFmtId="166" fontId="4" fillId="2" borderId="40" xfId="0" applyNumberFormat="1" applyFont="1" applyFill="1" applyBorder="1"/>
    <xf numFmtId="165" fontId="6" fillId="5" borderId="15" xfId="0" applyNumberFormat="1" applyFont="1" applyFill="1" applyBorder="1"/>
    <xf numFmtId="166" fontId="4" fillId="2" borderId="17" xfId="0" applyNumberFormat="1" applyFont="1" applyFill="1" applyBorder="1"/>
    <xf numFmtId="166" fontId="4" fillId="2" borderId="41" xfId="0" applyNumberFormat="1" applyFont="1" applyFill="1" applyBorder="1"/>
    <xf numFmtId="165" fontId="6" fillId="5" borderId="17" xfId="0" applyNumberFormat="1" applyFont="1" applyFill="1" applyBorder="1"/>
    <xf numFmtId="0" fontId="2" fillId="5" borderId="42" xfId="0" applyFont="1" applyFill="1" applyBorder="1"/>
    <xf numFmtId="166" fontId="1" fillId="5" borderId="43" xfId="0" applyNumberFormat="1" applyFont="1" applyFill="1" applyBorder="1"/>
    <xf numFmtId="166" fontId="6" fillId="5" borderId="43" xfId="0" applyNumberFormat="1" applyFont="1" applyFill="1" applyBorder="1"/>
    <xf numFmtId="166" fontId="6" fillId="5" borderId="44" xfId="0" applyNumberFormat="1" applyFont="1" applyFill="1" applyBorder="1"/>
    <xf numFmtId="165" fontId="2" fillId="6" borderId="43" xfId="0" applyNumberFormat="1" applyFont="1" applyFill="1" applyBorder="1"/>
    <xf numFmtId="166" fontId="1" fillId="7" borderId="0" xfId="0" applyNumberFormat="1" applyFont="1" applyFill="1"/>
    <xf numFmtId="0" fontId="1" fillId="7" borderId="0" xfId="0" applyFont="1" applyFill="1" applyAlignment="1">
      <alignment horizontal="center"/>
    </xf>
    <xf numFmtId="166" fontId="4" fillId="7" borderId="0" xfId="0" applyNumberFormat="1" applyFont="1" applyFill="1"/>
    <xf numFmtId="166" fontId="4" fillId="7" borderId="45" xfId="0" applyNumberFormat="1" applyFont="1" applyFill="1" applyBorder="1"/>
    <xf numFmtId="165" fontId="6" fillId="7" borderId="0" xfId="0" applyNumberFormat="1" applyFont="1" applyFill="1"/>
    <xf numFmtId="0" fontId="6" fillId="5" borderId="46" xfId="0" applyFont="1" applyFill="1" applyBorder="1"/>
    <xf numFmtId="0" fontId="6" fillId="5" borderId="47" xfId="0" applyFont="1" applyFill="1" applyBorder="1"/>
    <xf numFmtId="166" fontId="6" fillId="5" borderId="47" xfId="0" applyNumberFormat="1" applyFont="1" applyFill="1" applyBorder="1"/>
    <xf numFmtId="165" fontId="6" fillId="5" borderId="47" xfId="0" applyNumberFormat="1" applyFont="1" applyFill="1" applyBorder="1"/>
    <xf numFmtId="0" fontId="6" fillId="5" borderId="49" xfId="0" applyFont="1" applyFill="1" applyBorder="1"/>
    <xf numFmtId="0" fontId="6" fillId="5" borderId="50" xfId="0" applyFont="1" applyFill="1" applyBorder="1"/>
    <xf numFmtId="166" fontId="6" fillId="5" borderId="50" xfId="0" applyNumberFormat="1" applyFont="1" applyFill="1" applyBorder="1"/>
    <xf numFmtId="165" fontId="6" fillId="5" borderId="50" xfId="0" applyNumberFormat="1" applyFont="1" applyFill="1" applyBorder="1"/>
    <xf numFmtId="165" fontId="6" fillId="6" borderId="50" xfId="0" applyNumberFormat="1" applyFont="1" applyFill="1" applyBorder="1"/>
    <xf numFmtId="0" fontId="2" fillId="5" borderId="51" xfId="0" applyFont="1" applyFill="1" applyBorder="1"/>
    <xf numFmtId="0" fontId="2" fillId="5" borderId="52" xfId="0" applyFont="1" applyFill="1" applyBorder="1"/>
    <xf numFmtId="166" fontId="2" fillId="5" borderId="52" xfId="0" applyNumberFormat="1" applyFont="1" applyFill="1" applyBorder="1"/>
    <xf numFmtId="165" fontId="2" fillId="5" borderId="52" xfId="0" applyNumberFormat="1" applyFont="1" applyFill="1" applyBorder="1"/>
    <xf numFmtId="0" fontId="2" fillId="7" borderId="0" xfId="0" applyFont="1" applyFill="1"/>
    <xf numFmtId="0" fontId="2" fillId="0" borderId="9" xfId="0" applyFont="1" applyBorder="1"/>
    <xf numFmtId="0" fontId="1" fillId="0" borderId="10" xfId="0" applyFont="1" applyBorder="1"/>
    <xf numFmtId="0" fontId="8" fillId="0" borderId="53" xfId="0" applyFont="1" applyBorder="1"/>
    <xf numFmtId="0" fontId="8" fillId="0" borderId="54" xfId="0" applyFont="1" applyBorder="1" applyAlignment="1">
      <alignment horizontal="left" vertical="center"/>
    </xf>
    <xf numFmtId="166" fontId="9" fillId="2" borderId="54" xfId="0" applyNumberFormat="1" applyFont="1" applyFill="1" applyBorder="1" applyAlignment="1">
      <alignment vertical="top"/>
    </xf>
    <xf numFmtId="9" fontId="9" fillId="2" borderId="57" xfId="2" applyFont="1" applyFill="1" applyBorder="1" applyAlignment="1">
      <alignment vertical="top"/>
    </xf>
    <xf numFmtId="166" fontId="0" fillId="0" borderId="0" xfId="0" applyNumberFormat="1"/>
    <xf numFmtId="0" fontId="8" fillId="0" borderId="0" xfId="0" applyFont="1" applyAlignment="1">
      <alignment vertical="center"/>
    </xf>
    <xf numFmtId="166" fontId="9" fillId="2" borderId="0" xfId="0" applyNumberFormat="1" applyFont="1" applyFill="1" applyAlignment="1">
      <alignment vertical="top"/>
    </xf>
    <xf numFmtId="0" fontId="2" fillId="5" borderId="9" xfId="0" applyFont="1" applyFill="1" applyBorder="1"/>
    <xf numFmtId="0" fontId="1" fillId="5" borderId="10" xfId="0" applyFont="1" applyFill="1" applyBorder="1"/>
    <xf numFmtId="165" fontId="2" fillId="5" borderId="10" xfId="0" applyNumberFormat="1" applyFont="1" applyFill="1" applyBorder="1"/>
    <xf numFmtId="0" fontId="14" fillId="0" borderId="0" xfId="0" applyFont="1"/>
    <xf numFmtId="0" fontId="0" fillId="3" borderId="59" xfId="0" applyFill="1" applyBorder="1"/>
    <xf numFmtId="165" fontId="15" fillId="6" borderId="60" xfId="0" applyNumberFormat="1" applyFont="1" applyFill="1" applyBorder="1"/>
    <xf numFmtId="169" fontId="12" fillId="6" borderId="61" xfId="1" applyNumberFormat="1" applyFont="1" applyFill="1" applyBorder="1" applyAlignment="1">
      <alignment vertical="center"/>
    </xf>
    <xf numFmtId="0" fontId="8" fillId="0" borderId="0" xfId="0" applyFont="1"/>
    <xf numFmtId="166" fontId="4" fillId="2" borderId="0" xfId="0" applyNumberFormat="1" applyFont="1" applyFill="1" applyAlignment="1">
      <alignment horizontal="left" vertical="top"/>
    </xf>
    <xf numFmtId="166" fontId="4" fillId="0" borderId="0" xfId="0" applyNumberFormat="1" applyFont="1" applyAlignment="1">
      <alignment horizontal="left" vertical="top"/>
    </xf>
    <xf numFmtId="166" fontId="6" fillId="5" borderId="0" xfId="0" applyNumberFormat="1" applyFont="1" applyFill="1" applyAlignment="1">
      <alignment horizontal="left" vertical="top"/>
    </xf>
    <xf numFmtId="166" fontId="6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/>
    <xf numFmtId="164" fontId="4" fillId="2" borderId="0" xfId="0" applyNumberFormat="1" applyFont="1" applyFill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9" fontId="7" fillId="3" borderId="12" xfId="0" applyNumberFormat="1" applyFont="1" applyFill="1" applyBorder="1" applyAlignment="1">
      <alignment horizontal="right" vertical="top"/>
    </xf>
    <xf numFmtId="169" fontId="12" fillId="3" borderId="28" xfId="1" applyNumberFormat="1" applyFont="1" applyFill="1" applyBorder="1" applyAlignment="1">
      <alignment vertical="center"/>
    </xf>
    <xf numFmtId="169" fontId="12" fillId="3" borderId="38" xfId="1" applyNumberFormat="1" applyFont="1" applyFill="1" applyBorder="1" applyAlignment="1">
      <alignment vertical="center"/>
    </xf>
    <xf numFmtId="165" fontId="2" fillId="5" borderId="43" xfId="0" applyNumberFormat="1" applyFont="1" applyFill="1" applyBorder="1"/>
    <xf numFmtId="0" fontId="8" fillId="0" borderId="12" xfId="0" applyFont="1" applyBorder="1" applyAlignment="1">
      <alignment horizontal="left" vertical="center"/>
    </xf>
    <xf numFmtId="9" fontId="9" fillId="2" borderId="15" xfId="2" applyFont="1" applyFill="1" applyBorder="1" applyAlignment="1">
      <alignment vertical="top"/>
    </xf>
    <xf numFmtId="0" fontId="8" fillId="0" borderId="17" xfId="0" applyFont="1" applyBorder="1" applyAlignment="1">
      <alignment vertical="center"/>
    </xf>
    <xf numFmtId="0" fontId="2" fillId="5" borderId="64" xfId="0" applyFont="1" applyFill="1" applyBorder="1"/>
    <xf numFmtId="0" fontId="1" fillId="5" borderId="65" xfId="0" applyFont="1" applyFill="1" applyBorder="1"/>
    <xf numFmtId="165" fontId="2" fillId="5" borderId="65" xfId="0" applyNumberFormat="1" applyFont="1" applyFill="1" applyBorder="1"/>
    <xf numFmtId="0" fontId="0" fillId="3" borderId="62" xfId="0" applyFill="1" applyBorder="1"/>
    <xf numFmtId="165" fontId="15" fillId="5" borderId="62" xfId="0" applyNumberFormat="1" applyFont="1" applyFill="1" applyBorder="1"/>
    <xf numFmtId="169" fontId="12" fillId="3" borderId="67" xfId="1" applyNumberFormat="1" applyFont="1" applyFill="1" applyBorder="1" applyAlignment="1">
      <alignment vertical="center"/>
    </xf>
    <xf numFmtId="0" fontId="2" fillId="0" borderId="48" xfId="0" applyFont="1" applyBorder="1" applyAlignment="1">
      <alignment horizontal="center" vertical="center" wrapText="1"/>
    </xf>
    <xf numFmtId="0" fontId="8" fillId="5" borderId="10" xfId="0" applyFont="1" applyFill="1" applyBorder="1"/>
    <xf numFmtId="170" fontId="13" fillId="3" borderId="54" xfId="1" applyNumberFormat="1" applyFont="1" applyFill="1" applyBorder="1" applyAlignment="1">
      <alignment horizontal="right"/>
    </xf>
    <xf numFmtId="169" fontId="9" fillId="2" borderId="55" xfId="1" applyNumberFormat="1" applyFont="1" applyFill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170" fontId="13" fillId="3" borderId="57" xfId="1" applyNumberFormat="1" applyFont="1" applyFill="1" applyBorder="1" applyAlignment="1">
      <alignment horizontal="right"/>
    </xf>
    <xf numFmtId="170" fontId="13" fillId="3" borderId="0" xfId="1" applyNumberFormat="1" applyFont="1" applyFill="1" applyAlignment="1">
      <alignment horizontal="right"/>
    </xf>
    <xf numFmtId="0" fontId="1" fillId="5" borderId="10" xfId="0" applyFont="1" applyFill="1" applyBorder="1"/>
    <xf numFmtId="0" fontId="15" fillId="5" borderId="58" xfId="0" applyFont="1" applyFill="1" applyBorder="1"/>
    <xf numFmtId="0" fontId="5" fillId="5" borderId="59" xfId="0" applyFont="1" applyFill="1" applyBorder="1"/>
    <xf numFmtId="0" fontId="6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8" fillId="0" borderId="0" xfId="0" applyFont="1" applyAlignment="1">
      <alignment horizontal="left" vertical="top" wrapText="1"/>
    </xf>
    <xf numFmtId="0" fontId="6" fillId="9" borderId="0" xfId="0" applyFont="1" applyFill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2" fillId="10" borderId="62" xfId="0" applyFont="1" applyFill="1" applyBorder="1" applyAlignment="1">
      <alignment horizontal="left"/>
    </xf>
    <xf numFmtId="170" fontId="13" fillId="3" borderId="15" xfId="1" applyNumberFormat="1" applyFont="1" applyFill="1" applyBorder="1" applyAlignment="1">
      <alignment horizontal="right"/>
    </xf>
    <xf numFmtId="0" fontId="7" fillId="0" borderId="8" xfId="0" applyFont="1" applyBorder="1" applyAlignment="1">
      <alignment horizontal="left" vertical="center"/>
    </xf>
    <xf numFmtId="170" fontId="13" fillId="3" borderId="17" xfId="1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center" wrapText="1"/>
    </xf>
    <xf numFmtId="0" fontId="1" fillId="5" borderId="65" xfId="0" applyFont="1" applyFill="1" applyBorder="1"/>
    <xf numFmtId="0" fontId="15" fillId="5" borderId="66" xfId="0" applyFont="1" applyFill="1" applyBorder="1"/>
    <xf numFmtId="0" fontId="5" fillId="5" borderId="62" xfId="0" applyFont="1" applyFill="1" applyBorder="1"/>
    <xf numFmtId="0" fontId="2" fillId="3" borderId="8" xfId="0" applyFont="1" applyFill="1" applyBorder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65" fontId="1" fillId="0" borderId="0" xfId="0" applyNumberFormat="1" applyFont="1" applyBorder="1"/>
    <xf numFmtId="2" fontId="17" fillId="4" borderId="0" xfId="0" applyNumberFormat="1" applyFont="1" applyFill="1" applyBorder="1" applyAlignment="1">
      <alignment horizontal="center" vertical="center"/>
    </xf>
    <xf numFmtId="0" fontId="18" fillId="0" borderId="0" xfId="0" applyFont="1"/>
    <xf numFmtId="2" fontId="6" fillId="4" borderId="0" xfId="0" applyNumberFormat="1" applyFont="1" applyFill="1" applyBorder="1" applyAlignment="1">
      <alignment horizontal="center" vertic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4D4D4D"/>
      <rgbColor rgb="FFF7FFC5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3F3F3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274E13"/>
      <rgbColor rgb="FF993300"/>
      <rgbColor rgb="FF993366"/>
      <rgbColor rgb="FF1F497D"/>
      <rgbColor rgb="FF314C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1310760</xdr:colOff>
      <xdr:row>0</xdr:row>
      <xdr:rowOff>399600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480" y="0"/>
          <a:ext cx="131076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35"/>
  <sheetViews>
    <sheetView zoomScale="130" zoomScaleNormal="130" workbookViewId="0">
      <selection activeCell="E73" sqref="E73:AC73"/>
    </sheetView>
  </sheetViews>
  <sheetFormatPr baseColWidth="10" defaultColWidth="14.42578125" defaultRowHeight="12.75" x14ac:dyDescent="0.2"/>
  <cols>
    <col min="1" max="1" width="0.85546875" customWidth="1"/>
    <col min="2" max="2" width="21" customWidth="1"/>
    <col min="3" max="3" width="9.85546875" customWidth="1"/>
    <col min="4" max="4" width="11.85546875" customWidth="1"/>
    <col min="5" max="5" width="8" customWidth="1"/>
    <col min="6" max="9" width="7.85546875" customWidth="1"/>
    <col min="10" max="13" width="9" customWidth="1"/>
    <col min="14" max="25" width="9" hidden="1" customWidth="1"/>
    <col min="26" max="28" width="7.85546875" hidden="1" customWidth="1"/>
    <col min="29" max="29" width="13.140625" customWidth="1"/>
    <col min="30" max="30" width="11.42578125" customWidth="1"/>
    <col min="32" max="32" width="11.5703125" hidden="1" customWidth="1"/>
    <col min="33" max="33" width="20.42578125" hidden="1" customWidth="1"/>
    <col min="34" max="35" width="11.5703125" hidden="1" customWidth="1"/>
  </cols>
  <sheetData>
    <row r="1" spans="1:35" ht="32.25" customHeight="1" x14ac:dyDescent="0.2"/>
    <row r="2" spans="1:35" ht="15" customHeight="1" x14ac:dyDescent="0.3">
      <c r="A2" s="15"/>
      <c r="B2" s="16" t="s">
        <v>0</v>
      </c>
      <c r="C2" s="16"/>
      <c r="D2" s="1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35" ht="14.25" customHeight="1" x14ac:dyDescent="0.3">
      <c r="A3" s="15"/>
      <c r="B3" s="13"/>
      <c r="C3" s="12" t="s">
        <v>1</v>
      </c>
      <c r="D3" s="12"/>
      <c r="E3" s="17">
        <v>1</v>
      </c>
      <c r="F3" s="17">
        <v>2</v>
      </c>
      <c r="G3" s="18">
        <v>3</v>
      </c>
      <c r="H3" s="17">
        <v>4</v>
      </c>
      <c r="I3" s="17">
        <v>5</v>
      </c>
      <c r="J3" s="18">
        <v>6</v>
      </c>
      <c r="K3" s="17">
        <v>7</v>
      </c>
      <c r="L3" s="17">
        <v>8</v>
      </c>
      <c r="M3" s="18">
        <v>9</v>
      </c>
      <c r="N3" s="17">
        <v>10</v>
      </c>
      <c r="O3" s="17">
        <v>11</v>
      </c>
      <c r="P3" s="18">
        <v>12</v>
      </c>
      <c r="Q3" s="17">
        <v>13</v>
      </c>
      <c r="R3" s="17">
        <v>14</v>
      </c>
      <c r="S3" s="18">
        <v>15</v>
      </c>
      <c r="T3" s="17">
        <v>16</v>
      </c>
      <c r="U3" s="17">
        <v>17</v>
      </c>
      <c r="V3" s="18">
        <v>18</v>
      </c>
      <c r="W3" s="17">
        <v>19</v>
      </c>
      <c r="X3" s="17">
        <v>20</v>
      </c>
      <c r="Y3" s="18">
        <v>21</v>
      </c>
      <c r="Z3" s="17">
        <v>22</v>
      </c>
      <c r="AA3" s="17">
        <v>23</v>
      </c>
      <c r="AB3" s="18">
        <v>24</v>
      </c>
      <c r="AC3" s="17"/>
      <c r="AD3" s="19"/>
    </row>
    <row r="4" spans="1:35" ht="14.25" customHeight="1" x14ac:dyDescent="0.3">
      <c r="A4" s="15"/>
      <c r="B4" s="13"/>
      <c r="C4" s="12"/>
      <c r="D4" s="12"/>
      <c r="E4" s="20">
        <v>45689</v>
      </c>
      <c r="F4" s="20">
        <v>45717</v>
      </c>
      <c r="G4" s="20">
        <v>45748</v>
      </c>
      <c r="H4" s="20">
        <v>45778</v>
      </c>
      <c r="I4" s="20">
        <v>45809</v>
      </c>
      <c r="J4" s="20">
        <v>45839</v>
      </c>
      <c r="K4" s="20">
        <v>45870</v>
      </c>
      <c r="L4" s="20">
        <v>45901</v>
      </c>
      <c r="M4" s="20">
        <v>45931</v>
      </c>
      <c r="N4" s="20">
        <v>45962</v>
      </c>
      <c r="O4" s="20">
        <v>45992</v>
      </c>
      <c r="P4" s="20">
        <v>46023</v>
      </c>
      <c r="Q4" s="21" t="s">
        <v>2</v>
      </c>
      <c r="R4" s="21" t="s">
        <v>2</v>
      </c>
      <c r="S4" s="22" t="s">
        <v>2</v>
      </c>
      <c r="T4" s="21" t="s">
        <v>2</v>
      </c>
      <c r="U4" s="21" t="s">
        <v>2</v>
      </c>
      <c r="V4" s="22" t="s">
        <v>2</v>
      </c>
      <c r="W4" s="21" t="s">
        <v>2</v>
      </c>
      <c r="X4" s="21" t="s">
        <v>2</v>
      </c>
      <c r="Y4" s="22" t="s">
        <v>2</v>
      </c>
      <c r="Z4" s="21" t="s">
        <v>2</v>
      </c>
      <c r="AA4" s="21" t="s">
        <v>2</v>
      </c>
      <c r="AB4" s="22" t="s">
        <v>2</v>
      </c>
      <c r="AC4" s="11" t="s">
        <v>3</v>
      </c>
      <c r="AD4" s="10" t="s">
        <v>4</v>
      </c>
    </row>
    <row r="5" spans="1:35" ht="15" customHeight="1" x14ac:dyDescent="0.3">
      <c r="A5" s="15"/>
      <c r="B5" s="23" t="s">
        <v>5</v>
      </c>
      <c r="C5" s="24"/>
      <c r="D5" s="2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10"/>
    </row>
    <row r="6" spans="1:35" ht="14.25" customHeight="1" x14ac:dyDescent="0.3">
      <c r="A6" s="15"/>
      <c r="B6" s="25" t="s">
        <v>6</v>
      </c>
      <c r="C6" s="26" t="s">
        <v>7</v>
      </c>
      <c r="D6" s="27" t="s">
        <v>8</v>
      </c>
      <c r="E6" s="8" t="s">
        <v>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28"/>
      <c r="AD6" s="29"/>
    </row>
    <row r="7" spans="1:35" ht="14.25" customHeight="1" x14ac:dyDescent="0.3">
      <c r="A7" s="15"/>
      <c r="B7" s="30" t="s">
        <v>10</v>
      </c>
      <c r="C7" s="31">
        <v>310</v>
      </c>
      <c r="D7" s="32">
        <f>C7-D8</f>
        <v>310</v>
      </c>
      <c r="E7" s="33">
        <v>18</v>
      </c>
      <c r="F7" s="33">
        <v>18</v>
      </c>
      <c r="G7" s="33">
        <v>18</v>
      </c>
      <c r="H7" s="33">
        <v>18</v>
      </c>
      <c r="I7" s="33">
        <v>18</v>
      </c>
      <c r="J7" s="33">
        <v>18</v>
      </c>
      <c r="K7" s="33">
        <v>18</v>
      </c>
      <c r="L7" s="33">
        <v>18</v>
      </c>
      <c r="M7" s="33">
        <v>18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4">
        <v>0</v>
      </c>
      <c r="T7" s="33">
        <v>0</v>
      </c>
      <c r="U7" s="33">
        <v>0</v>
      </c>
      <c r="V7" s="34">
        <v>0</v>
      </c>
      <c r="W7" s="33">
        <v>0</v>
      </c>
      <c r="X7" s="33">
        <v>0</v>
      </c>
      <c r="Y7" s="34">
        <v>0</v>
      </c>
      <c r="Z7" s="33">
        <v>0</v>
      </c>
      <c r="AA7" s="33">
        <v>0</v>
      </c>
      <c r="AB7" s="34">
        <v>0</v>
      </c>
      <c r="AC7" s="35">
        <f>SUM(E7:AB7)*D7</f>
        <v>50220</v>
      </c>
      <c r="AD7" s="7">
        <f>AC7</f>
        <v>50220</v>
      </c>
    </row>
    <row r="8" spans="1:35" ht="14.25" customHeight="1" x14ac:dyDescent="0.3">
      <c r="A8" s="15"/>
      <c r="B8" s="36" t="s">
        <v>11</v>
      </c>
      <c r="C8" s="37">
        <v>0</v>
      </c>
      <c r="D8" s="38">
        <f>C8*C7</f>
        <v>0</v>
      </c>
      <c r="E8" s="39">
        <f t="shared" ref="E8:AB8" si="0">E7*$D$8</f>
        <v>0</v>
      </c>
      <c r="F8" s="39">
        <f t="shared" si="0"/>
        <v>0</v>
      </c>
      <c r="G8" s="40">
        <f t="shared" si="0"/>
        <v>0</v>
      </c>
      <c r="H8" s="39">
        <f t="shared" si="0"/>
        <v>0</v>
      </c>
      <c r="I8" s="39">
        <f t="shared" si="0"/>
        <v>0</v>
      </c>
      <c r="J8" s="40">
        <f t="shared" si="0"/>
        <v>0</v>
      </c>
      <c r="K8" s="39">
        <f t="shared" si="0"/>
        <v>0</v>
      </c>
      <c r="L8" s="39">
        <f t="shared" si="0"/>
        <v>0</v>
      </c>
      <c r="M8" s="40">
        <f t="shared" si="0"/>
        <v>0</v>
      </c>
      <c r="N8" s="39">
        <f t="shared" si="0"/>
        <v>0</v>
      </c>
      <c r="O8" s="39">
        <f t="shared" si="0"/>
        <v>0</v>
      </c>
      <c r="P8" s="40">
        <f t="shared" si="0"/>
        <v>0</v>
      </c>
      <c r="Q8" s="39">
        <f t="shared" si="0"/>
        <v>0</v>
      </c>
      <c r="R8" s="39">
        <f t="shared" si="0"/>
        <v>0</v>
      </c>
      <c r="S8" s="40">
        <f t="shared" si="0"/>
        <v>0</v>
      </c>
      <c r="T8" s="39">
        <f t="shared" si="0"/>
        <v>0</v>
      </c>
      <c r="U8" s="39">
        <f t="shared" si="0"/>
        <v>0</v>
      </c>
      <c r="V8" s="40">
        <f t="shared" si="0"/>
        <v>0</v>
      </c>
      <c r="W8" s="39">
        <f t="shared" si="0"/>
        <v>0</v>
      </c>
      <c r="X8" s="39">
        <f t="shared" si="0"/>
        <v>0</v>
      </c>
      <c r="Y8" s="40">
        <f t="shared" si="0"/>
        <v>0</v>
      </c>
      <c r="Z8" s="39">
        <f t="shared" si="0"/>
        <v>0</v>
      </c>
      <c r="AA8" s="39">
        <f t="shared" si="0"/>
        <v>0</v>
      </c>
      <c r="AB8" s="40">
        <f t="shared" si="0"/>
        <v>0</v>
      </c>
      <c r="AC8" s="41">
        <f>SUM(E8:AB8)</f>
        <v>0</v>
      </c>
      <c r="AD8" s="7"/>
    </row>
    <row r="9" spans="1:35" ht="14.25" customHeight="1" x14ac:dyDescent="0.3">
      <c r="A9" s="15"/>
      <c r="B9" s="30" t="s">
        <v>12</v>
      </c>
      <c r="C9" s="42">
        <v>280</v>
      </c>
      <c r="D9" s="43">
        <f>C9-D10</f>
        <v>280</v>
      </c>
      <c r="E9" s="44">
        <v>5</v>
      </c>
      <c r="F9" s="44">
        <v>5</v>
      </c>
      <c r="G9" s="44">
        <v>5</v>
      </c>
      <c r="H9" s="44">
        <v>5</v>
      </c>
      <c r="I9" s="44">
        <v>5</v>
      </c>
      <c r="J9" s="44">
        <v>5</v>
      </c>
      <c r="K9" s="44">
        <v>5</v>
      </c>
      <c r="L9" s="44">
        <v>5</v>
      </c>
      <c r="M9" s="44">
        <v>5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5">
        <v>0</v>
      </c>
      <c r="T9" s="44">
        <v>0</v>
      </c>
      <c r="U9" s="44">
        <v>0</v>
      </c>
      <c r="V9" s="45">
        <v>0</v>
      </c>
      <c r="W9" s="44">
        <v>0</v>
      </c>
      <c r="X9" s="44">
        <v>0</v>
      </c>
      <c r="Y9" s="45">
        <v>0</v>
      </c>
      <c r="Z9" s="44">
        <v>0</v>
      </c>
      <c r="AA9" s="44">
        <v>0</v>
      </c>
      <c r="AB9" s="45">
        <v>0</v>
      </c>
      <c r="AC9" s="35">
        <f>SUM(E9:AB9)*D9</f>
        <v>12600</v>
      </c>
      <c r="AD9" s="7">
        <f>AC9</f>
        <v>12600</v>
      </c>
    </row>
    <row r="10" spans="1:35" ht="14.25" customHeight="1" x14ac:dyDescent="0.3">
      <c r="A10" s="15"/>
      <c r="B10" s="36" t="s">
        <v>11</v>
      </c>
      <c r="C10" s="37">
        <v>0</v>
      </c>
      <c r="D10" s="38">
        <f>C10*C9</f>
        <v>0</v>
      </c>
      <c r="E10" s="39">
        <f t="shared" ref="E10:AB10" si="1">E9*$D$10</f>
        <v>0</v>
      </c>
      <c r="F10" s="39">
        <f t="shared" si="1"/>
        <v>0</v>
      </c>
      <c r="G10" s="40">
        <f t="shared" si="1"/>
        <v>0</v>
      </c>
      <c r="H10" s="39">
        <f t="shared" si="1"/>
        <v>0</v>
      </c>
      <c r="I10" s="39">
        <f t="shared" si="1"/>
        <v>0</v>
      </c>
      <c r="J10" s="40">
        <f t="shared" si="1"/>
        <v>0</v>
      </c>
      <c r="K10" s="39">
        <f t="shared" si="1"/>
        <v>0</v>
      </c>
      <c r="L10" s="39">
        <f t="shared" si="1"/>
        <v>0</v>
      </c>
      <c r="M10" s="40">
        <f t="shared" si="1"/>
        <v>0</v>
      </c>
      <c r="N10" s="39">
        <f t="shared" si="1"/>
        <v>0</v>
      </c>
      <c r="O10" s="39">
        <f t="shared" si="1"/>
        <v>0</v>
      </c>
      <c r="P10" s="40">
        <f t="shared" si="1"/>
        <v>0</v>
      </c>
      <c r="Q10" s="39">
        <f t="shared" si="1"/>
        <v>0</v>
      </c>
      <c r="R10" s="39">
        <f t="shared" si="1"/>
        <v>0</v>
      </c>
      <c r="S10" s="40">
        <f t="shared" si="1"/>
        <v>0</v>
      </c>
      <c r="T10" s="39">
        <f t="shared" si="1"/>
        <v>0</v>
      </c>
      <c r="U10" s="39">
        <f t="shared" si="1"/>
        <v>0</v>
      </c>
      <c r="V10" s="40">
        <f t="shared" si="1"/>
        <v>0</v>
      </c>
      <c r="W10" s="39">
        <f t="shared" si="1"/>
        <v>0</v>
      </c>
      <c r="X10" s="39">
        <f t="shared" si="1"/>
        <v>0</v>
      </c>
      <c r="Y10" s="40">
        <f t="shared" si="1"/>
        <v>0</v>
      </c>
      <c r="Z10" s="39">
        <f t="shared" si="1"/>
        <v>0</v>
      </c>
      <c r="AA10" s="39">
        <f t="shared" si="1"/>
        <v>0</v>
      </c>
      <c r="AB10" s="40">
        <f t="shared" si="1"/>
        <v>0</v>
      </c>
      <c r="AC10" s="41">
        <f>SUM(E10:AB10)</f>
        <v>0</v>
      </c>
      <c r="AD10" s="7"/>
    </row>
    <row r="11" spans="1:35" ht="14.25" customHeight="1" x14ac:dyDescent="0.3">
      <c r="A11" s="15"/>
      <c r="B11" s="46" t="s">
        <v>13</v>
      </c>
      <c r="C11" s="42">
        <v>280</v>
      </c>
      <c r="D11" s="43">
        <f>C11-D12</f>
        <v>280</v>
      </c>
      <c r="E11" s="44">
        <v>3</v>
      </c>
      <c r="F11" s="44">
        <v>3</v>
      </c>
      <c r="G11" s="44">
        <v>3</v>
      </c>
      <c r="H11" s="44">
        <v>3</v>
      </c>
      <c r="I11" s="44">
        <v>3</v>
      </c>
      <c r="J11" s="44">
        <v>3</v>
      </c>
      <c r="K11" s="44">
        <v>3</v>
      </c>
      <c r="L11" s="44">
        <v>3</v>
      </c>
      <c r="M11" s="44">
        <v>3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5">
        <v>0</v>
      </c>
      <c r="T11" s="44">
        <v>0</v>
      </c>
      <c r="U11" s="44">
        <v>0</v>
      </c>
      <c r="V11" s="45">
        <v>0</v>
      </c>
      <c r="W11" s="44">
        <v>0</v>
      </c>
      <c r="X11" s="44">
        <v>0</v>
      </c>
      <c r="Y11" s="45">
        <v>0</v>
      </c>
      <c r="Z11" s="44">
        <v>0</v>
      </c>
      <c r="AA11" s="44">
        <v>0</v>
      </c>
      <c r="AB11" s="45">
        <v>0</v>
      </c>
      <c r="AC11" s="35">
        <f>SUM(E11:AB11)*D11</f>
        <v>7560</v>
      </c>
      <c r="AD11" s="7">
        <f>AC11</f>
        <v>7560</v>
      </c>
    </row>
    <row r="12" spans="1:35" ht="14.25" customHeight="1" x14ac:dyDescent="0.3">
      <c r="A12" s="15"/>
      <c r="B12" s="36" t="s">
        <v>11</v>
      </c>
      <c r="C12" s="37">
        <v>0</v>
      </c>
      <c r="D12" s="38">
        <f>C12*C11</f>
        <v>0</v>
      </c>
      <c r="E12" s="39">
        <f t="shared" ref="E12:AB12" si="2">E11*$D$12</f>
        <v>0</v>
      </c>
      <c r="F12" s="39">
        <f t="shared" si="2"/>
        <v>0</v>
      </c>
      <c r="G12" s="40">
        <f t="shared" si="2"/>
        <v>0</v>
      </c>
      <c r="H12" s="39">
        <f t="shared" si="2"/>
        <v>0</v>
      </c>
      <c r="I12" s="39">
        <f t="shared" si="2"/>
        <v>0</v>
      </c>
      <c r="J12" s="40">
        <f t="shared" si="2"/>
        <v>0</v>
      </c>
      <c r="K12" s="39">
        <f t="shared" si="2"/>
        <v>0</v>
      </c>
      <c r="L12" s="39">
        <f t="shared" si="2"/>
        <v>0</v>
      </c>
      <c r="M12" s="40">
        <f t="shared" si="2"/>
        <v>0</v>
      </c>
      <c r="N12" s="39">
        <f t="shared" si="2"/>
        <v>0</v>
      </c>
      <c r="O12" s="39">
        <f t="shared" si="2"/>
        <v>0</v>
      </c>
      <c r="P12" s="40">
        <f t="shared" si="2"/>
        <v>0</v>
      </c>
      <c r="Q12" s="39">
        <f t="shared" si="2"/>
        <v>0</v>
      </c>
      <c r="R12" s="39">
        <f t="shared" si="2"/>
        <v>0</v>
      </c>
      <c r="S12" s="40">
        <f t="shared" si="2"/>
        <v>0</v>
      </c>
      <c r="T12" s="39">
        <f t="shared" si="2"/>
        <v>0</v>
      </c>
      <c r="U12" s="39">
        <f t="shared" si="2"/>
        <v>0</v>
      </c>
      <c r="V12" s="40">
        <f t="shared" si="2"/>
        <v>0</v>
      </c>
      <c r="W12" s="39">
        <f t="shared" si="2"/>
        <v>0</v>
      </c>
      <c r="X12" s="39">
        <f t="shared" si="2"/>
        <v>0</v>
      </c>
      <c r="Y12" s="40">
        <f t="shared" si="2"/>
        <v>0</v>
      </c>
      <c r="Z12" s="39">
        <f t="shared" si="2"/>
        <v>0</v>
      </c>
      <c r="AA12" s="39">
        <f t="shared" si="2"/>
        <v>0</v>
      </c>
      <c r="AB12" s="40">
        <f t="shared" si="2"/>
        <v>0</v>
      </c>
      <c r="AC12" s="41">
        <f>SUM(E12:AB12)</f>
        <v>0</v>
      </c>
      <c r="AD12" s="7"/>
    </row>
    <row r="13" spans="1:35" ht="14.25" customHeight="1" x14ac:dyDescent="0.3">
      <c r="A13" s="15"/>
      <c r="B13" s="30" t="s">
        <v>14</v>
      </c>
      <c r="C13" s="42">
        <v>280</v>
      </c>
      <c r="D13" s="43">
        <f>C13-D14</f>
        <v>280</v>
      </c>
      <c r="E13" s="44">
        <v>10</v>
      </c>
      <c r="F13" s="44">
        <v>10</v>
      </c>
      <c r="G13" s="44">
        <v>10</v>
      </c>
      <c r="H13" s="44"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5">
        <v>0</v>
      </c>
      <c r="T13" s="44">
        <v>0</v>
      </c>
      <c r="U13" s="44">
        <v>0</v>
      </c>
      <c r="V13" s="45">
        <v>0</v>
      </c>
      <c r="W13" s="44">
        <v>0</v>
      </c>
      <c r="X13" s="44">
        <v>0</v>
      </c>
      <c r="Y13" s="45">
        <v>0</v>
      </c>
      <c r="Z13" s="44">
        <v>0</v>
      </c>
      <c r="AA13" s="44">
        <v>0</v>
      </c>
      <c r="AB13" s="45">
        <v>0</v>
      </c>
      <c r="AC13" s="35">
        <f>SUM(E13:AB13)*D13</f>
        <v>25200</v>
      </c>
      <c r="AD13" s="7">
        <f>AC13</f>
        <v>25200</v>
      </c>
      <c r="AG13" t="s">
        <v>15</v>
      </c>
      <c r="AH13">
        <f>13666.66*4</f>
        <v>54666.64</v>
      </c>
      <c r="AI13">
        <f>AH13/AH23</f>
        <v>0.40349344797670328</v>
      </c>
    </row>
    <row r="14" spans="1:35" ht="14.25" customHeight="1" x14ac:dyDescent="0.3">
      <c r="A14" s="15"/>
      <c r="B14" s="36" t="s">
        <v>11</v>
      </c>
      <c r="C14" s="37">
        <v>0</v>
      </c>
      <c r="D14" s="38">
        <f>C14*C13</f>
        <v>0</v>
      </c>
      <c r="E14" s="39">
        <f t="shared" ref="E14:AB14" si="3">E13*$D$14</f>
        <v>0</v>
      </c>
      <c r="F14" s="39">
        <f t="shared" si="3"/>
        <v>0</v>
      </c>
      <c r="G14" s="40">
        <f t="shared" si="3"/>
        <v>0</v>
      </c>
      <c r="H14" s="39">
        <f t="shared" si="3"/>
        <v>0</v>
      </c>
      <c r="I14" s="39">
        <f t="shared" si="3"/>
        <v>0</v>
      </c>
      <c r="J14" s="40">
        <f t="shared" si="3"/>
        <v>0</v>
      </c>
      <c r="K14" s="39">
        <f t="shared" si="3"/>
        <v>0</v>
      </c>
      <c r="L14" s="39">
        <f t="shared" si="3"/>
        <v>0</v>
      </c>
      <c r="M14" s="40">
        <f t="shared" si="3"/>
        <v>0</v>
      </c>
      <c r="N14" s="39">
        <f t="shared" si="3"/>
        <v>0</v>
      </c>
      <c r="O14" s="39">
        <f t="shared" si="3"/>
        <v>0</v>
      </c>
      <c r="P14" s="40">
        <f t="shared" si="3"/>
        <v>0</v>
      </c>
      <c r="Q14" s="39">
        <f t="shared" si="3"/>
        <v>0</v>
      </c>
      <c r="R14" s="39">
        <f t="shared" si="3"/>
        <v>0</v>
      </c>
      <c r="S14" s="40">
        <f t="shared" si="3"/>
        <v>0</v>
      </c>
      <c r="T14" s="39">
        <f t="shared" si="3"/>
        <v>0</v>
      </c>
      <c r="U14" s="39">
        <f t="shared" si="3"/>
        <v>0</v>
      </c>
      <c r="V14" s="40">
        <f t="shared" si="3"/>
        <v>0</v>
      </c>
      <c r="W14" s="39">
        <f t="shared" si="3"/>
        <v>0</v>
      </c>
      <c r="X14" s="39">
        <f t="shared" si="3"/>
        <v>0</v>
      </c>
      <c r="Y14" s="40">
        <f t="shared" si="3"/>
        <v>0</v>
      </c>
      <c r="Z14" s="39">
        <f t="shared" si="3"/>
        <v>0</v>
      </c>
      <c r="AA14" s="39">
        <f t="shared" si="3"/>
        <v>0</v>
      </c>
      <c r="AB14" s="40">
        <f t="shared" si="3"/>
        <v>0</v>
      </c>
      <c r="AC14" s="41">
        <f>SUM(E14:AB14)</f>
        <v>0</v>
      </c>
      <c r="AD14" s="7"/>
      <c r="AG14" t="s">
        <v>16</v>
      </c>
      <c r="AH14">
        <f>13075.03</f>
        <v>13075.03</v>
      </c>
      <c r="AI14">
        <f>AH14/AH23</f>
        <v>9.6506552023296749E-2</v>
      </c>
    </row>
    <row r="15" spans="1:35" ht="14.25" customHeight="1" x14ac:dyDescent="0.3">
      <c r="A15" s="15"/>
      <c r="B15" s="46" t="s">
        <v>17</v>
      </c>
      <c r="C15" s="42">
        <v>330</v>
      </c>
      <c r="D15" s="43">
        <f>C15-D16</f>
        <v>330</v>
      </c>
      <c r="E15" s="44">
        <v>4</v>
      </c>
      <c r="F15" s="44">
        <v>4</v>
      </c>
      <c r="G15" s="44">
        <v>4</v>
      </c>
      <c r="H15" s="44">
        <v>4</v>
      </c>
      <c r="I15" s="44">
        <v>4</v>
      </c>
      <c r="J15" s="44">
        <v>4</v>
      </c>
      <c r="K15" s="44">
        <v>4</v>
      </c>
      <c r="L15" s="44">
        <v>4</v>
      </c>
      <c r="M15" s="44">
        <v>4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5">
        <v>0</v>
      </c>
      <c r="T15" s="44">
        <v>0</v>
      </c>
      <c r="U15" s="44">
        <v>0</v>
      </c>
      <c r="V15" s="45">
        <v>0</v>
      </c>
      <c r="W15" s="44">
        <v>0</v>
      </c>
      <c r="X15" s="44">
        <v>0</v>
      </c>
      <c r="Y15" s="45">
        <v>0</v>
      </c>
      <c r="Z15" s="44">
        <v>0</v>
      </c>
      <c r="AA15" s="44">
        <v>0</v>
      </c>
      <c r="AB15" s="45">
        <v>0</v>
      </c>
      <c r="AC15" s="35">
        <f>SUM(E15:AB15)*D15</f>
        <v>11880</v>
      </c>
      <c r="AD15" s="7">
        <f>AC15</f>
        <v>11880</v>
      </c>
      <c r="AG15" t="s">
        <v>18</v>
      </c>
      <c r="AH15">
        <f>AH14+AH13</f>
        <v>67741.67</v>
      </c>
      <c r="AI15">
        <f>AH15/AH23</f>
        <v>0.5</v>
      </c>
    </row>
    <row r="16" spans="1:35" ht="14.25" customHeight="1" x14ac:dyDescent="0.3">
      <c r="A16" s="15"/>
      <c r="B16" s="36" t="s">
        <v>11</v>
      </c>
      <c r="C16" s="37">
        <v>0</v>
      </c>
      <c r="D16" s="38">
        <f>C16*C15</f>
        <v>0</v>
      </c>
      <c r="E16" s="39">
        <f t="shared" ref="E16:AB16" si="4">E15*$D$16</f>
        <v>0</v>
      </c>
      <c r="F16" s="39">
        <f t="shared" si="4"/>
        <v>0</v>
      </c>
      <c r="G16" s="40">
        <f t="shared" si="4"/>
        <v>0</v>
      </c>
      <c r="H16" s="39">
        <f t="shared" si="4"/>
        <v>0</v>
      </c>
      <c r="I16" s="39">
        <f t="shared" si="4"/>
        <v>0</v>
      </c>
      <c r="J16" s="40">
        <f t="shared" si="4"/>
        <v>0</v>
      </c>
      <c r="K16" s="39">
        <f t="shared" si="4"/>
        <v>0</v>
      </c>
      <c r="L16" s="39">
        <f t="shared" si="4"/>
        <v>0</v>
      </c>
      <c r="M16" s="40">
        <f t="shared" si="4"/>
        <v>0</v>
      </c>
      <c r="N16" s="39">
        <f t="shared" si="4"/>
        <v>0</v>
      </c>
      <c r="O16" s="39">
        <f t="shared" si="4"/>
        <v>0</v>
      </c>
      <c r="P16" s="40">
        <f t="shared" si="4"/>
        <v>0</v>
      </c>
      <c r="Q16" s="39">
        <f t="shared" si="4"/>
        <v>0</v>
      </c>
      <c r="R16" s="39">
        <f t="shared" si="4"/>
        <v>0</v>
      </c>
      <c r="S16" s="40">
        <f t="shared" si="4"/>
        <v>0</v>
      </c>
      <c r="T16" s="39">
        <f t="shared" si="4"/>
        <v>0</v>
      </c>
      <c r="U16" s="39">
        <f t="shared" si="4"/>
        <v>0</v>
      </c>
      <c r="V16" s="40">
        <f t="shared" si="4"/>
        <v>0</v>
      </c>
      <c r="W16" s="39">
        <f t="shared" si="4"/>
        <v>0</v>
      </c>
      <c r="X16" s="39">
        <f t="shared" si="4"/>
        <v>0</v>
      </c>
      <c r="Y16" s="40">
        <f t="shared" si="4"/>
        <v>0</v>
      </c>
      <c r="Z16" s="39">
        <f t="shared" si="4"/>
        <v>0</v>
      </c>
      <c r="AA16" s="39">
        <f t="shared" si="4"/>
        <v>0</v>
      </c>
      <c r="AB16" s="40">
        <f t="shared" si="4"/>
        <v>0</v>
      </c>
      <c r="AC16" s="41">
        <f>SUM(E16:AB16)</f>
        <v>0</v>
      </c>
      <c r="AD16" s="7"/>
    </row>
    <row r="17" spans="1:34" ht="14.25" hidden="1" customHeight="1" x14ac:dyDescent="0.3">
      <c r="A17" s="15"/>
      <c r="B17" s="47" t="s">
        <v>19</v>
      </c>
      <c r="C17" s="42">
        <v>260</v>
      </c>
      <c r="D17" s="43">
        <f>C17-D18</f>
        <v>260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5">
        <v>0</v>
      </c>
      <c r="T17" s="44">
        <v>0</v>
      </c>
      <c r="U17" s="44">
        <v>0</v>
      </c>
      <c r="V17" s="45">
        <v>0</v>
      </c>
      <c r="W17" s="44">
        <v>0</v>
      </c>
      <c r="X17" s="44">
        <v>0</v>
      </c>
      <c r="Y17" s="45">
        <v>0</v>
      </c>
      <c r="Z17" s="44">
        <v>0</v>
      </c>
      <c r="AA17" s="44">
        <v>0</v>
      </c>
      <c r="AB17" s="45">
        <v>0</v>
      </c>
      <c r="AC17" s="35">
        <f>SUM(E17:AB17)*D17</f>
        <v>0</v>
      </c>
      <c r="AD17" s="7">
        <v>0</v>
      </c>
    </row>
    <row r="18" spans="1:34" ht="14.25" hidden="1" customHeight="1" x14ac:dyDescent="0.3">
      <c r="A18" s="15"/>
      <c r="B18" s="36" t="s">
        <v>11</v>
      </c>
      <c r="C18" s="37">
        <v>0</v>
      </c>
      <c r="D18" s="38">
        <f>C18*C17</f>
        <v>0</v>
      </c>
      <c r="E18" s="39">
        <f t="shared" ref="E18:AB18" si="5">E17*$D$18</f>
        <v>0</v>
      </c>
      <c r="F18" s="39">
        <f t="shared" si="5"/>
        <v>0</v>
      </c>
      <c r="G18" s="40">
        <f t="shared" si="5"/>
        <v>0</v>
      </c>
      <c r="H18" s="39">
        <f t="shared" si="5"/>
        <v>0</v>
      </c>
      <c r="I18" s="39">
        <f t="shared" si="5"/>
        <v>0</v>
      </c>
      <c r="J18" s="40">
        <f t="shared" si="5"/>
        <v>0</v>
      </c>
      <c r="K18" s="39">
        <f t="shared" si="5"/>
        <v>0</v>
      </c>
      <c r="L18" s="39">
        <f t="shared" si="5"/>
        <v>0</v>
      </c>
      <c r="M18" s="40">
        <f t="shared" si="5"/>
        <v>0</v>
      </c>
      <c r="N18" s="39">
        <f t="shared" si="5"/>
        <v>0</v>
      </c>
      <c r="O18" s="39">
        <f t="shared" si="5"/>
        <v>0</v>
      </c>
      <c r="P18" s="40">
        <f t="shared" si="5"/>
        <v>0</v>
      </c>
      <c r="Q18" s="39">
        <f t="shared" si="5"/>
        <v>0</v>
      </c>
      <c r="R18" s="39">
        <f t="shared" si="5"/>
        <v>0</v>
      </c>
      <c r="S18" s="40">
        <f t="shared" si="5"/>
        <v>0</v>
      </c>
      <c r="T18" s="39">
        <f t="shared" si="5"/>
        <v>0</v>
      </c>
      <c r="U18" s="39">
        <f t="shared" si="5"/>
        <v>0</v>
      </c>
      <c r="V18" s="40">
        <f t="shared" si="5"/>
        <v>0</v>
      </c>
      <c r="W18" s="39">
        <f t="shared" si="5"/>
        <v>0</v>
      </c>
      <c r="X18" s="39">
        <f t="shared" si="5"/>
        <v>0</v>
      </c>
      <c r="Y18" s="40">
        <f t="shared" si="5"/>
        <v>0</v>
      </c>
      <c r="Z18" s="39">
        <f t="shared" si="5"/>
        <v>0</v>
      </c>
      <c r="AA18" s="39">
        <f t="shared" si="5"/>
        <v>0</v>
      </c>
      <c r="AB18" s="40">
        <f t="shared" si="5"/>
        <v>0</v>
      </c>
      <c r="AC18" s="41">
        <f>SUM(E18:AB18)</f>
        <v>0</v>
      </c>
      <c r="AD18" s="7"/>
    </row>
    <row r="19" spans="1:34" ht="14.25" hidden="1" customHeight="1" x14ac:dyDescent="0.3">
      <c r="A19" s="15"/>
      <c r="B19" s="46" t="s">
        <v>20</v>
      </c>
      <c r="C19" s="42">
        <v>0</v>
      </c>
      <c r="D19" s="43">
        <f>C19-D20</f>
        <v>0</v>
      </c>
      <c r="E19" s="44">
        <v>0</v>
      </c>
      <c r="F19" s="44">
        <v>0</v>
      </c>
      <c r="G19" s="45">
        <v>0</v>
      </c>
      <c r="H19" s="44">
        <v>0</v>
      </c>
      <c r="I19" s="44">
        <v>0</v>
      </c>
      <c r="J19" s="45">
        <v>0</v>
      </c>
      <c r="K19" s="44">
        <v>0</v>
      </c>
      <c r="L19" s="44">
        <v>0</v>
      </c>
      <c r="M19" s="45">
        <v>0</v>
      </c>
      <c r="N19" s="44">
        <v>0</v>
      </c>
      <c r="O19" s="44">
        <v>0</v>
      </c>
      <c r="P19" s="45">
        <v>0</v>
      </c>
      <c r="Q19" s="44">
        <v>0</v>
      </c>
      <c r="R19" s="44">
        <v>0</v>
      </c>
      <c r="S19" s="45">
        <v>0</v>
      </c>
      <c r="T19" s="44">
        <v>0</v>
      </c>
      <c r="U19" s="44">
        <v>0</v>
      </c>
      <c r="V19" s="45">
        <v>0</v>
      </c>
      <c r="W19" s="44">
        <v>0</v>
      </c>
      <c r="X19" s="44">
        <v>0</v>
      </c>
      <c r="Y19" s="45">
        <v>0</v>
      </c>
      <c r="Z19" s="44">
        <v>0</v>
      </c>
      <c r="AA19" s="44">
        <v>0</v>
      </c>
      <c r="AB19" s="45">
        <v>0</v>
      </c>
      <c r="AC19" s="35">
        <f>SUM(E19:AB19)*D19</f>
        <v>0</v>
      </c>
      <c r="AD19" s="7">
        <v>0</v>
      </c>
    </row>
    <row r="20" spans="1:34" ht="14.25" hidden="1" customHeight="1" x14ac:dyDescent="0.3">
      <c r="A20" s="15"/>
      <c r="B20" s="36" t="s">
        <v>11</v>
      </c>
      <c r="C20" s="37">
        <v>0</v>
      </c>
      <c r="D20" s="38">
        <f>C20*C19</f>
        <v>0</v>
      </c>
      <c r="E20" s="39">
        <f t="shared" ref="E20:AB20" si="6">E19*$D$20</f>
        <v>0</v>
      </c>
      <c r="F20" s="39">
        <f t="shared" si="6"/>
        <v>0</v>
      </c>
      <c r="G20" s="40">
        <f t="shared" si="6"/>
        <v>0</v>
      </c>
      <c r="H20" s="39">
        <f t="shared" si="6"/>
        <v>0</v>
      </c>
      <c r="I20" s="39">
        <f t="shared" si="6"/>
        <v>0</v>
      </c>
      <c r="J20" s="40">
        <f t="shared" si="6"/>
        <v>0</v>
      </c>
      <c r="K20" s="39">
        <f t="shared" si="6"/>
        <v>0</v>
      </c>
      <c r="L20" s="39">
        <f t="shared" si="6"/>
        <v>0</v>
      </c>
      <c r="M20" s="40">
        <f t="shared" si="6"/>
        <v>0</v>
      </c>
      <c r="N20" s="39">
        <f t="shared" si="6"/>
        <v>0</v>
      </c>
      <c r="O20" s="39">
        <f t="shared" si="6"/>
        <v>0</v>
      </c>
      <c r="P20" s="40">
        <f t="shared" si="6"/>
        <v>0</v>
      </c>
      <c r="Q20" s="39">
        <f t="shared" si="6"/>
        <v>0</v>
      </c>
      <c r="R20" s="39">
        <f t="shared" si="6"/>
        <v>0</v>
      </c>
      <c r="S20" s="40">
        <f t="shared" si="6"/>
        <v>0</v>
      </c>
      <c r="T20" s="39">
        <f t="shared" si="6"/>
        <v>0</v>
      </c>
      <c r="U20" s="39">
        <f t="shared" si="6"/>
        <v>0</v>
      </c>
      <c r="V20" s="40">
        <f t="shared" si="6"/>
        <v>0</v>
      </c>
      <c r="W20" s="39">
        <f t="shared" si="6"/>
        <v>0</v>
      </c>
      <c r="X20" s="39">
        <f t="shared" si="6"/>
        <v>0</v>
      </c>
      <c r="Y20" s="40">
        <f t="shared" si="6"/>
        <v>0</v>
      </c>
      <c r="Z20" s="39">
        <f t="shared" si="6"/>
        <v>0</v>
      </c>
      <c r="AA20" s="39">
        <f t="shared" si="6"/>
        <v>0</v>
      </c>
      <c r="AB20" s="40">
        <f t="shared" si="6"/>
        <v>0</v>
      </c>
      <c r="AC20" s="41">
        <f>SUM(E20:AB20)</f>
        <v>0</v>
      </c>
      <c r="AD20" s="7"/>
    </row>
    <row r="21" spans="1:34" ht="14.25" hidden="1" customHeight="1" x14ac:dyDescent="0.3">
      <c r="A21" s="15"/>
      <c r="B21" s="46" t="s">
        <v>20</v>
      </c>
      <c r="C21" s="48">
        <v>0</v>
      </c>
      <c r="D21" s="49">
        <f>C21-D22</f>
        <v>0</v>
      </c>
      <c r="E21" s="50">
        <v>0</v>
      </c>
      <c r="F21" s="50">
        <v>0</v>
      </c>
      <c r="G21" s="51">
        <v>0</v>
      </c>
      <c r="H21" s="50">
        <v>0</v>
      </c>
      <c r="I21" s="50">
        <v>0</v>
      </c>
      <c r="J21" s="51">
        <v>0</v>
      </c>
      <c r="K21" s="50">
        <v>0</v>
      </c>
      <c r="L21" s="50">
        <v>0</v>
      </c>
      <c r="M21" s="51">
        <v>0</v>
      </c>
      <c r="N21" s="50">
        <v>0</v>
      </c>
      <c r="O21" s="50">
        <v>0</v>
      </c>
      <c r="P21" s="51">
        <v>0</v>
      </c>
      <c r="Q21" s="50">
        <v>0</v>
      </c>
      <c r="R21" s="50">
        <v>0</v>
      </c>
      <c r="S21" s="51">
        <v>0</v>
      </c>
      <c r="T21" s="50">
        <v>0</v>
      </c>
      <c r="U21" s="50">
        <v>0</v>
      </c>
      <c r="V21" s="51">
        <v>0</v>
      </c>
      <c r="W21" s="50">
        <v>0</v>
      </c>
      <c r="X21" s="50">
        <v>0</v>
      </c>
      <c r="Y21" s="51">
        <v>0</v>
      </c>
      <c r="Z21" s="50">
        <v>0</v>
      </c>
      <c r="AA21" s="50">
        <v>0</v>
      </c>
      <c r="AB21" s="51">
        <v>0</v>
      </c>
      <c r="AC21" s="35">
        <f>SUM(E21:AB21)*D21</f>
        <v>0</v>
      </c>
      <c r="AD21" s="7">
        <v>0</v>
      </c>
    </row>
    <row r="22" spans="1:34" ht="14.25" hidden="1" customHeight="1" x14ac:dyDescent="0.3">
      <c r="A22" s="15"/>
      <c r="B22" s="36" t="s">
        <v>11</v>
      </c>
      <c r="C22" s="37">
        <v>0</v>
      </c>
      <c r="D22" s="38">
        <f>C22*C21</f>
        <v>0</v>
      </c>
      <c r="E22" s="39">
        <f t="shared" ref="E22:AB22" si="7">E21*$D$22</f>
        <v>0</v>
      </c>
      <c r="F22" s="39">
        <f t="shared" si="7"/>
        <v>0</v>
      </c>
      <c r="G22" s="40">
        <f t="shared" si="7"/>
        <v>0</v>
      </c>
      <c r="H22" s="39">
        <f t="shared" si="7"/>
        <v>0</v>
      </c>
      <c r="I22" s="39">
        <f t="shared" si="7"/>
        <v>0</v>
      </c>
      <c r="J22" s="40">
        <f t="shared" si="7"/>
        <v>0</v>
      </c>
      <c r="K22" s="39">
        <f t="shared" si="7"/>
        <v>0</v>
      </c>
      <c r="L22" s="39">
        <f t="shared" si="7"/>
        <v>0</v>
      </c>
      <c r="M22" s="40">
        <f t="shared" si="7"/>
        <v>0</v>
      </c>
      <c r="N22" s="39">
        <f t="shared" si="7"/>
        <v>0</v>
      </c>
      <c r="O22" s="39">
        <f t="shared" si="7"/>
        <v>0</v>
      </c>
      <c r="P22" s="40">
        <f t="shared" si="7"/>
        <v>0</v>
      </c>
      <c r="Q22" s="39">
        <f t="shared" si="7"/>
        <v>0</v>
      </c>
      <c r="R22" s="39">
        <f t="shared" si="7"/>
        <v>0</v>
      </c>
      <c r="S22" s="40">
        <f t="shared" si="7"/>
        <v>0</v>
      </c>
      <c r="T22" s="39">
        <f t="shared" si="7"/>
        <v>0</v>
      </c>
      <c r="U22" s="39">
        <f t="shared" si="7"/>
        <v>0</v>
      </c>
      <c r="V22" s="40">
        <f t="shared" si="7"/>
        <v>0</v>
      </c>
      <c r="W22" s="39">
        <f t="shared" si="7"/>
        <v>0</v>
      </c>
      <c r="X22" s="39">
        <f t="shared" si="7"/>
        <v>0</v>
      </c>
      <c r="Y22" s="40">
        <f t="shared" si="7"/>
        <v>0</v>
      </c>
      <c r="Z22" s="39">
        <f t="shared" si="7"/>
        <v>0</v>
      </c>
      <c r="AA22" s="39">
        <f t="shared" si="7"/>
        <v>0</v>
      </c>
      <c r="AB22" s="40">
        <f t="shared" si="7"/>
        <v>0</v>
      </c>
      <c r="AC22" s="41">
        <f>SUM(E22:AB22)</f>
        <v>0</v>
      </c>
      <c r="AD22" s="7"/>
    </row>
    <row r="23" spans="1:34" ht="14.25" customHeight="1" x14ac:dyDescent="0.3">
      <c r="A23" s="15"/>
      <c r="B23" s="52" t="s">
        <v>21</v>
      </c>
      <c r="C23" s="53"/>
      <c r="D23" s="53"/>
      <c r="E23" s="54">
        <f t="shared" ref="E23:AB23" si="8">E7*$D$7+E9*$D$9+E11*$D$11+E13*$D$13+E15*$D$15+E17*$D$17+E19*$D$19+E21*$D$21</f>
        <v>11940</v>
      </c>
      <c r="F23" s="54">
        <f t="shared" si="8"/>
        <v>11940</v>
      </c>
      <c r="G23" s="54">
        <f t="shared" si="8"/>
        <v>11940</v>
      </c>
      <c r="H23" s="54">
        <f t="shared" si="8"/>
        <v>11940</v>
      </c>
      <c r="I23" s="54">
        <f t="shared" si="8"/>
        <v>11940</v>
      </c>
      <c r="J23" s="54">
        <f t="shared" si="8"/>
        <v>11940</v>
      </c>
      <c r="K23" s="54">
        <f t="shared" si="8"/>
        <v>11940</v>
      </c>
      <c r="L23" s="54">
        <f t="shared" si="8"/>
        <v>11940</v>
      </c>
      <c r="M23" s="54">
        <f t="shared" si="8"/>
        <v>11940</v>
      </c>
      <c r="N23" s="54">
        <f t="shared" si="8"/>
        <v>0</v>
      </c>
      <c r="O23" s="54">
        <f t="shared" si="8"/>
        <v>0</v>
      </c>
      <c r="P23" s="54">
        <f t="shared" si="8"/>
        <v>0</v>
      </c>
      <c r="Q23" s="54">
        <f t="shared" si="8"/>
        <v>0</v>
      </c>
      <c r="R23" s="54">
        <f t="shared" si="8"/>
        <v>0</v>
      </c>
      <c r="S23" s="54">
        <f t="shared" si="8"/>
        <v>0</v>
      </c>
      <c r="T23" s="54">
        <f t="shared" si="8"/>
        <v>0</v>
      </c>
      <c r="U23" s="54">
        <f t="shared" si="8"/>
        <v>0</v>
      </c>
      <c r="V23" s="54">
        <f t="shared" si="8"/>
        <v>0</v>
      </c>
      <c r="W23" s="54">
        <f t="shared" si="8"/>
        <v>0</v>
      </c>
      <c r="X23" s="54">
        <f t="shared" si="8"/>
        <v>0</v>
      </c>
      <c r="Y23" s="54">
        <f t="shared" si="8"/>
        <v>0</v>
      </c>
      <c r="Z23" s="54">
        <f t="shared" si="8"/>
        <v>0</v>
      </c>
      <c r="AA23" s="54">
        <f t="shared" si="8"/>
        <v>0</v>
      </c>
      <c r="AB23" s="54">
        <f t="shared" si="8"/>
        <v>0</v>
      </c>
      <c r="AC23" s="54">
        <f>SUM(E23:AB23)</f>
        <v>107460</v>
      </c>
      <c r="AD23" s="6" t="s">
        <v>4</v>
      </c>
      <c r="AG23" t="s">
        <v>22</v>
      </c>
      <c r="AH23">
        <f>AH13+AH14+AH15</f>
        <v>135483.34</v>
      </c>
    </row>
    <row r="24" spans="1:34" ht="14.25" customHeight="1" x14ac:dyDescent="0.3">
      <c r="A24" s="15"/>
      <c r="B24" s="55" t="s">
        <v>23</v>
      </c>
      <c r="C24" s="56"/>
      <c r="D24" s="56"/>
      <c r="E24" s="57">
        <f t="shared" ref="E24:AB24" si="9">E8+E10+E12+E14+E16+E18+E20+E22</f>
        <v>0</v>
      </c>
      <c r="F24" s="57">
        <f t="shared" si="9"/>
        <v>0</v>
      </c>
      <c r="G24" s="58">
        <f t="shared" si="9"/>
        <v>0</v>
      </c>
      <c r="H24" s="57">
        <f t="shared" si="9"/>
        <v>0</v>
      </c>
      <c r="I24" s="57">
        <f t="shared" si="9"/>
        <v>0</v>
      </c>
      <c r="J24" s="58">
        <f t="shared" si="9"/>
        <v>0</v>
      </c>
      <c r="K24" s="57">
        <f t="shared" si="9"/>
        <v>0</v>
      </c>
      <c r="L24" s="57">
        <f t="shared" si="9"/>
        <v>0</v>
      </c>
      <c r="M24" s="58">
        <f t="shared" si="9"/>
        <v>0</v>
      </c>
      <c r="N24" s="57">
        <f t="shared" si="9"/>
        <v>0</v>
      </c>
      <c r="O24" s="57">
        <f t="shared" si="9"/>
        <v>0</v>
      </c>
      <c r="P24" s="58">
        <f t="shared" si="9"/>
        <v>0</v>
      </c>
      <c r="Q24" s="57">
        <f t="shared" si="9"/>
        <v>0</v>
      </c>
      <c r="R24" s="57">
        <f t="shared" si="9"/>
        <v>0</v>
      </c>
      <c r="S24" s="58">
        <f t="shared" si="9"/>
        <v>0</v>
      </c>
      <c r="T24" s="57">
        <f t="shared" si="9"/>
        <v>0</v>
      </c>
      <c r="U24" s="57">
        <f t="shared" si="9"/>
        <v>0</v>
      </c>
      <c r="V24" s="58">
        <f t="shared" si="9"/>
        <v>0</v>
      </c>
      <c r="W24" s="57">
        <f t="shared" si="9"/>
        <v>0</v>
      </c>
      <c r="X24" s="57">
        <f t="shared" si="9"/>
        <v>0</v>
      </c>
      <c r="Y24" s="58">
        <f t="shared" si="9"/>
        <v>0</v>
      </c>
      <c r="Z24" s="57">
        <f t="shared" si="9"/>
        <v>0</v>
      </c>
      <c r="AA24" s="57">
        <f t="shared" si="9"/>
        <v>0</v>
      </c>
      <c r="AB24" s="58">
        <f t="shared" si="9"/>
        <v>0</v>
      </c>
      <c r="AC24" s="57">
        <f>SUM(E24:AB24)</f>
        <v>0</v>
      </c>
      <c r="AD24" s="6"/>
    </row>
    <row r="25" spans="1:34" ht="14.25" customHeight="1" x14ac:dyDescent="0.3">
      <c r="A25" s="15"/>
      <c r="B25" s="59" t="s">
        <v>22</v>
      </c>
      <c r="C25" s="60"/>
      <c r="D25" s="60"/>
      <c r="E25" s="61">
        <f t="shared" ref="E25:AC25" si="10">E23+E24</f>
        <v>11940</v>
      </c>
      <c r="F25" s="61">
        <f t="shared" si="10"/>
        <v>11940</v>
      </c>
      <c r="G25" s="62">
        <f t="shared" si="10"/>
        <v>11940</v>
      </c>
      <c r="H25" s="61">
        <f t="shared" si="10"/>
        <v>11940</v>
      </c>
      <c r="I25" s="61">
        <f t="shared" si="10"/>
        <v>11940</v>
      </c>
      <c r="J25" s="62">
        <f t="shared" si="10"/>
        <v>11940</v>
      </c>
      <c r="K25" s="61">
        <f t="shared" si="10"/>
        <v>11940</v>
      </c>
      <c r="L25" s="61">
        <f t="shared" si="10"/>
        <v>11940</v>
      </c>
      <c r="M25" s="62">
        <f t="shared" si="10"/>
        <v>11940</v>
      </c>
      <c r="N25" s="61">
        <f t="shared" si="10"/>
        <v>0</v>
      </c>
      <c r="O25" s="61">
        <f t="shared" si="10"/>
        <v>0</v>
      </c>
      <c r="P25" s="62">
        <f t="shared" si="10"/>
        <v>0</v>
      </c>
      <c r="Q25" s="61">
        <f t="shared" si="10"/>
        <v>0</v>
      </c>
      <c r="R25" s="61">
        <f t="shared" si="10"/>
        <v>0</v>
      </c>
      <c r="S25" s="62">
        <f t="shared" si="10"/>
        <v>0</v>
      </c>
      <c r="T25" s="61">
        <f t="shared" si="10"/>
        <v>0</v>
      </c>
      <c r="U25" s="61">
        <f t="shared" si="10"/>
        <v>0</v>
      </c>
      <c r="V25" s="62">
        <f t="shared" si="10"/>
        <v>0</v>
      </c>
      <c r="W25" s="61">
        <f t="shared" si="10"/>
        <v>0</v>
      </c>
      <c r="X25" s="61">
        <f t="shared" si="10"/>
        <v>0</v>
      </c>
      <c r="Y25" s="62">
        <f t="shared" si="10"/>
        <v>0</v>
      </c>
      <c r="Z25" s="61">
        <f t="shared" si="10"/>
        <v>0</v>
      </c>
      <c r="AA25" s="61">
        <f t="shared" si="10"/>
        <v>0</v>
      </c>
      <c r="AB25" s="62">
        <f t="shared" si="10"/>
        <v>0</v>
      </c>
      <c r="AC25" s="63">
        <f t="shared" si="10"/>
        <v>107460</v>
      </c>
      <c r="AD25" s="64">
        <f>AD7+AD9+AD11+AD13+AD15+AD17+AD19+AD21</f>
        <v>107460</v>
      </c>
    </row>
    <row r="26" spans="1:34" ht="14.25" customHeight="1" x14ac:dyDescent="0.3">
      <c r="A26" s="15"/>
      <c r="B26" s="65"/>
      <c r="C26" s="66"/>
      <c r="D26" s="66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8"/>
      <c r="AD26" s="69"/>
      <c r="AH26" s="70">
        <f>AC76-AH23</f>
        <v>1.0000000009313226E-2</v>
      </c>
    </row>
    <row r="27" spans="1:34" ht="14.25" customHeight="1" x14ac:dyDescent="0.3">
      <c r="A27" s="15"/>
      <c r="B27" s="71" t="s">
        <v>24</v>
      </c>
      <c r="C27" s="26" t="s">
        <v>7</v>
      </c>
      <c r="D27" s="27" t="s">
        <v>8</v>
      </c>
      <c r="E27" s="8" t="s">
        <v>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8"/>
      <c r="AD27" s="29"/>
    </row>
    <row r="28" spans="1:34" ht="14.25" customHeight="1" x14ac:dyDescent="0.3">
      <c r="A28" s="15"/>
      <c r="B28" s="30" t="s">
        <v>12</v>
      </c>
      <c r="C28" s="31">
        <v>120</v>
      </c>
      <c r="D28" s="32">
        <f>C28-D29</f>
        <v>120</v>
      </c>
      <c r="E28" s="33">
        <v>20</v>
      </c>
      <c r="F28" s="33">
        <v>20</v>
      </c>
      <c r="G28" s="33">
        <v>20</v>
      </c>
      <c r="H28" s="33">
        <v>20</v>
      </c>
      <c r="I28" s="33">
        <v>20</v>
      </c>
      <c r="J28" s="33">
        <v>20</v>
      </c>
      <c r="K28" s="33">
        <v>20</v>
      </c>
      <c r="L28" s="33">
        <v>20</v>
      </c>
      <c r="M28" s="33">
        <v>20</v>
      </c>
      <c r="N28" s="33">
        <v>0</v>
      </c>
      <c r="O28" s="33">
        <v>0</v>
      </c>
      <c r="P28" s="72">
        <v>0</v>
      </c>
      <c r="Q28" s="33">
        <v>0</v>
      </c>
      <c r="R28" s="33">
        <v>0</v>
      </c>
      <c r="S28" s="72">
        <v>0</v>
      </c>
      <c r="T28" s="33">
        <v>0</v>
      </c>
      <c r="U28" s="33">
        <v>0</v>
      </c>
      <c r="V28" s="72">
        <v>0</v>
      </c>
      <c r="W28" s="33">
        <v>0</v>
      </c>
      <c r="X28" s="33">
        <v>0</v>
      </c>
      <c r="Y28" s="72">
        <v>0</v>
      </c>
      <c r="Z28" s="33">
        <v>0</v>
      </c>
      <c r="AA28" s="33">
        <v>0</v>
      </c>
      <c r="AB28" s="72">
        <v>0</v>
      </c>
      <c r="AC28" s="35">
        <f>SUM(E28:AB28)*D28</f>
        <v>21600</v>
      </c>
      <c r="AD28" s="7">
        <f>AC28</f>
        <v>21600</v>
      </c>
    </row>
    <row r="29" spans="1:34" ht="14.25" customHeight="1" x14ac:dyDescent="0.3">
      <c r="A29" s="15"/>
      <c r="B29" s="36" t="s">
        <v>11</v>
      </c>
      <c r="C29" s="37">
        <v>0</v>
      </c>
      <c r="D29" s="38">
        <f>C29*C28</f>
        <v>0</v>
      </c>
      <c r="E29" s="39">
        <f t="shared" ref="E29:AB29" si="11">E28*$D$29</f>
        <v>0</v>
      </c>
      <c r="F29" s="39">
        <f t="shared" si="11"/>
        <v>0</v>
      </c>
      <c r="G29" s="73">
        <f t="shared" si="11"/>
        <v>0</v>
      </c>
      <c r="H29" s="39">
        <f t="shared" si="11"/>
        <v>0</v>
      </c>
      <c r="I29" s="39">
        <f t="shared" si="11"/>
        <v>0</v>
      </c>
      <c r="J29" s="73">
        <f t="shared" si="11"/>
        <v>0</v>
      </c>
      <c r="K29" s="39">
        <f t="shared" si="11"/>
        <v>0</v>
      </c>
      <c r="L29" s="39">
        <f t="shared" si="11"/>
        <v>0</v>
      </c>
      <c r="M29" s="73">
        <f t="shared" si="11"/>
        <v>0</v>
      </c>
      <c r="N29" s="39">
        <f t="shared" si="11"/>
        <v>0</v>
      </c>
      <c r="O29" s="39">
        <f t="shared" si="11"/>
        <v>0</v>
      </c>
      <c r="P29" s="73">
        <f t="shared" si="11"/>
        <v>0</v>
      </c>
      <c r="Q29" s="39">
        <f t="shared" si="11"/>
        <v>0</v>
      </c>
      <c r="R29" s="39">
        <f t="shared" si="11"/>
        <v>0</v>
      </c>
      <c r="S29" s="73">
        <f t="shared" si="11"/>
        <v>0</v>
      </c>
      <c r="T29" s="39">
        <f t="shared" si="11"/>
        <v>0</v>
      </c>
      <c r="U29" s="39">
        <f t="shared" si="11"/>
        <v>0</v>
      </c>
      <c r="V29" s="73">
        <f t="shared" si="11"/>
        <v>0</v>
      </c>
      <c r="W29" s="39">
        <f t="shared" si="11"/>
        <v>0</v>
      </c>
      <c r="X29" s="39">
        <f t="shared" si="11"/>
        <v>0</v>
      </c>
      <c r="Y29" s="73">
        <f t="shared" si="11"/>
        <v>0</v>
      </c>
      <c r="Z29" s="39">
        <f t="shared" si="11"/>
        <v>0</v>
      </c>
      <c r="AA29" s="39">
        <f t="shared" si="11"/>
        <v>0</v>
      </c>
      <c r="AB29" s="73">
        <f t="shared" si="11"/>
        <v>0</v>
      </c>
      <c r="AC29" s="41">
        <f>SUM(E29:AB29)</f>
        <v>0</v>
      </c>
      <c r="AD29" s="7"/>
    </row>
    <row r="30" spans="1:34" ht="14.25" hidden="1" customHeight="1" x14ac:dyDescent="0.3">
      <c r="A30" s="15"/>
      <c r="B30" s="46" t="s">
        <v>13</v>
      </c>
      <c r="C30" s="42">
        <v>0</v>
      </c>
      <c r="D30" s="43">
        <f>C30-D31</f>
        <v>0</v>
      </c>
      <c r="E30" s="44">
        <v>0</v>
      </c>
      <c r="F30" s="44">
        <v>0</v>
      </c>
      <c r="G30" s="74">
        <v>0</v>
      </c>
      <c r="H30" s="44">
        <v>0</v>
      </c>
      <c r="I30" s="44">
        <v>0</v>
      </c>
      <c r="J30" s="74">
        <v>0</v>
      </c>
      <c r="K30" s="44">
        <v>0</v>
      </c>
      <c r="L30" s="44">
        <v>0</v>
      </c>
      <c r="M30" s="74">
        <v>0</v>
      </c>
      <c r="N30" s="44">
        <v>0</v>
      </c>
      <c r="O30" s="44">
        <v>0</v>
      </c>
      <c r="P30" s="74">
        <v>0</v>
      </c>
      <c r="Q30" s="44">
        <v>0</v>
      </c>
      <c r="R30" s="44">
        <v>0</v>
      </c>
      <c r="S30" s="74">
        <v>0</v>
      </c>
      <c r="T30" s="44">
        <v>0</v>
      </c>
      <c r="U30" s="44">
        <v>0</v>
      </c>
      <c r="V30" s="74">
        <v>0</v>
      </c>
      <c r="W30" s="44">
        <v>0</v>
      </c>
      <c r="X30" s="44">
        <v>0</v>
      </c>
      <c r="Y30" s="74">
        <v>0</v>
      </c>
      <c r="Z30" s="44">
        <v>0</v>
      </c>
      <c r="AA30" s="44">
        <v>0</v>
      </c>
      <c r="AB30" s="74">
        <v>0</v>
      </c>
      <c r="AC30" s="35">
        <f>SUM(E30:AB30)*D30</f>
        <v>0</v>
      </c>
      <c r="AD30" s="7">
        <v>0</v>
      </c>
    </row>
    <row r="31" spans="1:34" ht="14.25" hidden="1" customHeight="1" x14ac:dyDescent="0.3">
      <c r="A31" s="15"/>
      <c r="B31" s="36" t="s">
        <v>11</v>
      </c>
      <c r="C31" s="37">
        <v>0</v>
      </c>
      <c r="D31" s="38">
        <f>C31*C30</f>
        <v>0</v>
      </c>
      <c r="E31" s="39">
        <f t="shared" ref="E31:AB31" si="12">E30*$D$31</f>
        <v>0</v>
      </c>
      <c r="F31" s="39">
        <f t="shared" si="12"/>
        <v>0</v>
      </c>
      <c r="G31" s="73">
        <f t="shared" si="12"/>
        <v>0</v>
      </c>
      <c r="H31" s="39">
        <f t="shared" si="12"/>
        <v>0</v>
      </c>
      <c r="I31" s="39">
        <f t="shared" si="12"/>
        <v>0</v>
      </c>
      <c r="J31" s="73">
        <f t="shared" si="12"/>
        <v>0</v>
      </c>
      <c r="K31" s="39">
        <f t="shared" si="12"/>
        <v>0</v>
      </c>
      <c r="L31" s="39">
        <f t="shared" si="12"/>
        <v>0</v>
      </c>
      <c r="M31" s="73">
        <f t="shared" si="12"/>
        <v>0</v>
      </c>
      <c r="N31" s="39">
        <f t="shared" si="12"/>
        <v>0</v>
      </c>
      <c r="O31" s="39">
        <f t="shared" si="12"/>
        <v>0</v>
      </c>
      <c r="P31" s="73">
        <f t="shared" si="12"/>
        <v>0</v>
      </c>
      <c r="Q31" s="39">
        <f t="shared" si="12"/>
        <v>0</v>
      </c>
      <c r="R31" s="39">
        <f t="shared" si="12"/>
        <v>0</v>
      </c>
      <c r="S31" s="73">
        <f t="shared" si="12"/>
        <v>0</v>
      </c>
      <c r="T31" s="39">
        <f t="shared" si="12"/>
        <v>0</v>
      </c>
      <c r="U31" s="39">
        <f t="shared" si="12"/>
        <v>0</v>
      </c>
      <c r="V31" s="73">
        <f t="shared" si="12"/>
        <v>0</v>
      </c>
      <c r="W31" s="39">
        <f t="shared" si="12"/>
        <v>0</v>
      </c>
      <c r="X31" s="39">
        <f t="shared" si="12"/>
        <v>0</v>
      </c>
      <c r="Y31" s="73">
        <f t="shared" si="12"/>
        <v>0</v>
      </c>
      <c r="Z31" s="39">
        <f t="shared" si="12"/>
        <v>0</v>
      </c>
      <c r="AA31" s="39">
        <f t="shared" si="12"/>
        <v>0</v>
      </c>
      <c r="AB31" s="73">
        <f t="shared" si="12"/>
        <v>0</v>
      </c>
      <c r="AC31" s="41">
        <f>SUM(E31:AB31)</f>
        <v>0</v>
      </c>
      <c r="AD31" s="7"/>
    </row>
    <row r="32" spans="1:34" ht="14.25" hidden="1" customHeight="1" x14ac:dyDescent="0.3">
      <c r="A32" s="15"/>
      <c r="B32" s="47" t="s">
        <v>25</v>
      </c>
      <c r="C32" s="42">
        <v>0</v>
      </c>
      <c r="D32" s="43">
        <f>C32-D33</f>
        <v>0</v>
      </c>
      <c r="E32" s="44">
        <v>0</v>
      </c>
      <c r="F32" s="44">
        <v>0</v>
      </c>
      <c r="G32" s="74">
        <v>0</v>
      </c>
      <c r="H32" s="44">
        <v>0</v>
      </c>
      <c r="I32" s="44">
        <v>0</v>
      </c>
      <c r="J32" s="74">
        <v>0</v>
      </c>
      <c r="K32" s="44">
        <v>0</v>
      </c>
      <c r="L32" s="44">
        <v>0</v>
      </c>
      <c r="M32" s="74">
        <v>0</v>
      </c>
      <c r="N32" s="44">
        <v>0</v>
      </c>
      <c r="O32" s="44">
        <v>0</v>
      </c>
      <c r="P32" s="74">
        <v>0</v>
      </c>
      <c r="Q32" s="44">
        <v>0</v>
      </c>
      <c r="R32" s="44">
        <v>0</v>
      </c>
      <c r="S32" s="74">
        <v>0</v>
      </c>
      <c r="T32" s="44">
        <v>0</v>
      </c>
      <c r="U32" s="44">
        <v>0</v>
      </c>
      <c r="V32" s="74">
        <v>0</v>
      </c>
      <c r="W32" s="44">
        <v>0</v>
      </c>
      <c r="X32" s="44">
        <v>0</v>
      </c>
      <c r="Y32" s="74">
        <v>0</v>
      </c>
      <c r="Z32" s="44">
        <v>0</v>
      </c>
      <c r="AA32" s="44">
        <v>0</v>
      </c>
      <c r="AB32" s="74">
        <v>0</v>
      </c>
      <c r="AC32" s="35">
        <f>SUM(E32:AB32)*D32</f>
        <v>0</v>
      </c>
      <c r="AD32" s="7">
        <v>0</v>
      </c>
    </row>
    <row r="33" spans="1:36" ht="14.25" hidden="1" customHeight="1" x14ac:dyDescent="0.3">
      <c r="A33" s="15"/>
      <c r="B33" s="36" t="s">
        <v>11</v>
      </c>
      <c r="C33" s="37">
        <v>0</v>
      </c>
      <c r="D33" s="38">
        <f>C33*C32</f>
        <v>0</v>
      </c>
      <c r="E33" s="39">
        <f t="shared" ref="E33:AB33" si="13">E32*$D$33</f>
        <v>0</v>
      </c>
      <c r="F33" s="39">
        <f t="shared" si="13"/>
        <v>0</v>
      </c>
      <c r="G33" s="73">
        <f t="shared" si="13"/>
        <v>0</v>
      </c>
      <c r="H33" s="39">
        <f t="shared" si="13"/>
        <v>0</v>
      </c>
      <c r="I33" s="39">
        <f t="shared" si="13"/>
        <v>0</v>
      </c>
      <c r="J33" s="73">
        <f t="shared" si="13"/>
        <v>0</v>
      </c>
      <c r="K33" s="39">
        <f t="shared" si="13"/>
        <v>0</v>
      </c>
      <c r="L33" s="39">
        <f t="shared" si="13"/>
        <v>0</v>
      </c>
      <c r="M33" s="73">
        <f t="shared" si="13"/>
        <v>0</v>
      </c>
      <c r="N33" s="39">
        <f t="shared" si="13"/>
        <v>0</v>
      </c>
      <c r="O33" s="39">
        <f t="shared" si="13"/>
        <v>0</v>
      </c>
      <c r="P33" s="73">
        <f t="shared" si="13"/>
        <v>0</v>
      </c>
      <c r="Q33" s="39">
        <f t="shared" si="13"/>
        <v>0</v>
      </c>
      <c r="R33" s="39">
        <f t="shared" si="13"/>
        <v>0</v>
      </c>
      <c r="S33" s="73">
        <f t="shared" si="13"/>
        <v>0</v>
      </c>
      <c r="T33" s="39">
        <f t="shared" si="13"/>
        <v>0</v>
      </c>
      <c r="U33" s="39">
        <f t="shared" si="13"/>
        <v>0</v>
      </c>
      <c r="V33" s="73">
        <f t="shared" si="13"/>
        <v>0</v>
      </c>
      <c r="W33" s="39">
        <f t="shared" si="13"/>
        <v>0</v>
      </c>
      <c r="X33" s="39">
        <f t="shared" si="13"/>
        <v>0</v>
      </c>
      <c r="Y33" s="73">
        <f t="shared" si="13"/>
        <v>0</v>
      </c>
      <c r="Z33" s="39">
        <f t="shared" si="13"/>
        <v>0</v>
      </c>
      <c r="AA33" s="39">
        <f t="shared" si="13"/>
        <v>0</v>
      </c>
      <c r="AB33" s="73">
        <f t="shared" si="13"/>
        <v>0</v>
      </c>
      <c r="AC33" s="41">
        <f>SUM(E33:AB33)</f>
        <v>0</v>
      </c>
      <c r="AD33" s="7"/>
    </row>
    <row r="34" spans="1:36" ht="14.25" hidden="1" customHeight="1" x14ac:dyDescent="0.3">
      <c r="A34" s="15"/>
      <c r="B34" s="46" t="s">
        <v>19</v>
      </c>
      <c r="C34" s="42">
        <v>0</v>
      </c>
      <c r="D34" s="43">
        <f>C34-D35</f>
        <v>0</v>
      </c>
      <c r="E34" s="44">
        <v>0</v>
      </c>
      <c r="F34" s="44">
        <v>0</v>
      </c>
      <c r="G34" s="74">
        <v>0</v>
      </c>
      <c r="H34" s="44">
        <v>0</v>
      </c>
      <c r="I34" s="44">
        <v>0</v>
      </c>
      <c r="J34" s="74">
        <v>0</v>
      </c>
      <c r="K34" s="44">
        <v>0</v>
      </c>
      <c r="L34" s="44">
        <v>0</v>
      </c>
      <c r="M34" s="74">
        <v>0</v>
      </c>
      <c r="N34" s="44">
        <v>0</v>
      </c>
      <c r="O34" s="44">
        <v>0</v>
      </c>
      <c r="P34" s="74">
        <v>0</v>
      </c>
      <c r="Q34" s="44">
        <v>0</v>
      </c>
      <c r="R34" s="44">
        <v>0</v>
      </c>
      <c r="S34" s="74">
        <v>0</v>
      </c>
      <c r="T34" s="44">
        <v>0</v>
      </c>
      <c r="U34" s="44">
        <v>0</v>
      </c>
      <c r="V34" s="74">
        <v>0</v>
      </c>
      <c r="W34" s="44">
        <v>0</v>
      </c>
      <c r="X34" s="44">
        <v>0</v>
      </c>
      <c r="Y34" s="74">
        <v>0</v>
      </c>
      <c r="Z34" s="44">
        <v>0</v>
      </c>
      <c r="AA34" s="44">
        <v>0</v>
      </c>
      <c r="AB34" s="74">
        <v>0</v>
      </c>
      <c r="AC34" s="35">
        <f>SUM(E34:AB34)*D34</f>
        <v>0</v>
      </c>
      <c r="AD34" s="5">
        <v>0</v>
      </c>
    </row>
    <row r="35" spans="1:36" ht="14.25" hidden="1" customHeight="1" x14ac:dyDescent="0.3">
      <c r="A35" s="15"/>
      <c r="B35" s="36" t="s">
        <v>11</v>
      </c>
      <c r="C35" s="37">
        <v>0</v>
      </c>
      <c r="D35" s="38">
        <f>C35*C34</f>
        <v>0</v>
      </c>
      <c r="E35" s="39">
        <f t="shared" ref="E35:AB35" si="14">E34*$D$35</f>
        <v>0</v>
      </c>
      <c r="F35" s="39">
        <f t="shared" si="14"/>
        <v>0</v>
      </c>
      <c r="G35" s="73">
        <f t="shared" si="14"/>
        <v>0</v>
      </c>
      <c r="H35" s="39">
        <f t="shared" si="14"/>
        <v>0</v>
      </c>
      <c r="I35" s="39">
        <f t="shared" si="14"/>
        <v>0</v>
      </c>
      <c r="J35" s="73">
        <f t="shared" si="14"/>
        <v>0</v>
      </c>
      <c r="K35" s="39">
        <f t="shared" si="14"/>
        <v>0</v>
      </c>
      <c r="L35" s="39">
        <f t="shared" si="14"/>
        <v>0</v>
      </c>
      <c r="M35" s="73">
        <f t="shared" si="14"/>
        <v>0</v>
      </c>
      <c r="N35" s="39">
        <f t="shared" si="14"/>
        <v>0</v>
      </c>
      <c r="O35" s="39">
        <f t="shared" si="14"/>
        <v>0</v>
      </c>
      <c r="P35" s="73">
        <f t="shared" si="14"/>
        <v>0</v>
      </c>
      <c r="Q35" s="39">
        <f t="shared" si="14"/>
        <v>0</v>
      </c>
      <c r="R35" s="39">
        <f t="shared" si="14"/>
        <v>0</v>
      </c>
      <c r="S35" s="73">
        <f t="shared" si="14"/>
        <v>0</v>
      </c>
      <c r="T35" s="39">
        <f t="shared" si="14"/>
        <v>0</v>
      </c>
      <c r="U35" s="39">
        <f t="shared" si="14"/>
        <v>0</v>
      </c>
      <c r="V35" s="73">
        <f t="shared" si="14"/>
        <v>0</v>
      </c>
      <c r="W35" s="39">
        <f t="shared" si="14"/>
        <v>0</v>
      </c>
      <c r="X35" s="39">
        <f t="shared" si="14"/>
        <v>0</v>
      </c>
      <c r="Y35" s="73">
        <f t="shared" si="14"/>
        <v>0</v>
      </c>
      <c r="Z35" s="39">
        <f t="shared" si="14"/>
        <v>0</v>
      </c>
      <c r="AA35" s="39">
        <f t="shared" si="14"/>
        <v>0</v>
      </c>
      <c r="AB35" s="73">
        <f t="shared" si="14"/>
        <v>0</v>
      </c>
      <c r="AC35" s="41">
        <f>SUM(E35:AB35)</f>
        <v>0</v>
      </c>
      <c r="AD35" s="5"/>
    </row>
    <row r="36" spans="1:36" ht="14.25" hidden="1" customHeight="1" x14ac:dyDescent="0.3">
      <c r="A36" s="15"/>
      <c r="B36" s="30" t="s">
        <v>10</v>
      </c>
      <c r="C36" s="42">
        <v>0</v>
      </c>
      <c r="D36" s="43">
        <f>C36-D37</f>
        <v>0</v>
      </c>
      <c r="E36" s="44">
        <v>0</v>
      </c>
      <c r="F36" s="44">
        <v>0</v>
      </c>
      <c r="G36" s="74">
        <v>0</v>
      </c>
      <c r="H36" s="44">
        <v>0</v>
      </c>
      <c r="I36" s="44">
        <v>0</v>
      </c>
      <c r="J36" s="74">
        <v>0</v>
      </c>
      <c r="K36" s="44">
        <v>0</v>
      </c>
      <c r="L36" s="44">
        <v>0</v>
      </c>
      <c r="M36" s="74">
        <v>0</v>
      </c>
      <c r="N36" s="44">
        <v>0</v>
      </c>
      <c r="O36" s="44">
        <v>0</v>
      </c>
      <c r="P36" s="74">
        <v>0</v>
      </c>
      <c r="Q36" s="44">
        <v>0</v>
      </c>
      <c r="R36" s="44">
        <v>0</v>
      </c>
      <c r="S36" s="74">
        <v>0</v>
      </c>
      <c r="T36" s="44">
        <v>0</v>
      </c>
      <c r="U36" s="44">
        <v>0</v>
      </c>
      <c r="V36" s="74">
        <v>0</v>
      </c>
      <c r="W36" s="44">
        <v>0</v>
      </c>
      <c r="X36" s="44">
        <v>0</v>
      </c>
      <c r="Y36" s="74">
        <v>0</v>
      </c>
      <c r="Z36" s="44">
        <v>0</v>
      </c>
      <c r="AA36" s="44">
        <v>0</v>
      </c>
      <c r="AB36" s="74">
        <v>0</v>
      </c>
      <c r="AC36" s="35">
        <f>SUM(E36:AB36)*D36</f>
        <v>0</v>
      </c>
      <c r="AD36" s="7">
        <v>0</v>
      </c>
    </row>
    <row r="37" spans="1:36" ht="14.25" hidden="1" customHeight="1" x14ac:dyDescent="0.3">
      <c r="A37" s="15"/>
      <c r="B37" s="36" t="s">
        <v>11</v>
      </c>
      <c r="C37" s="37">
        <v>0</v>
      </c>
      <c r="D37" s="38">
        <f>C37*C36</f>
        <v>0</v>
      </c>
      <c r="E37" s="39">
        <f t="shared" ref="E37:AB37" si="15">E36*$D$37</f>
        <v>0</v>
      </c>
      <c r="F37" s="39">
        <f t="shared" si="15"/>
        <v>0</v>
      </c>
      <c r="G37" s="73">
        <f t="shared" si="15"/>
        <v>0</v>
      </c>
      <c r="H37" s="39">
        <f t="shared" si="15"/>
        <v>0</v>
      </c>
      <c r="I37" s="39">
        <f t="shared" si="15"/>
        <v>0</v>
      </c>
      <c r="J37" s="73">
        <f t="shared" si="15"/>
        <v>0</v>
      </c>
      <c r="K37" s="39">
        <f t="shared" si="15"/>
        <v>0</v>
      </c>
      <c r="L37" s="39">
        <f t="shared" si="15"/>
        <v>0</v>
      </c>
      <c r="M37" s="73">
        <f t="shared" si="15"/>
        <v>0</v>
      </c>
      <c r="N37" s="39">
        <f t="shared" si="15"/>
        <v>0</v>
      </c>
      <c r="O37" s="39">
        <f t="shared" si="15"/>
        <v>0</v>
      </c>
      <c r="P37" s="73">
        <f t="shared" si="15"/>
        <v>0</v>
      </c>
      <c r="Q37" s="39">
        <f t="shared" si="15"/>
        <v>0</v>
      </c>
      <c r="R37" s="39">
        <f t="shared" si="15"/>
        <v>0</v>
      </c>
      <c r="S37" s="73">
        <f t="shared" si="15"/>
        <v>0</v>
      </c>
      <c r="T37" s="39">
        <f t="shared" si="15"/>
        <v>0</v>
      </c>
      <c r="U37" s="39">
        <f t="shared" si="15"/>
        <v>0</v>
      </c>
      <c r="V37" s="73">
        <f t="shared" si="15"/>
        <v>0</v>
      </c>
      <c r="W37" s="39">
        <f t="shared" si="15"/>
        <v>0</v>
      </c>
      <c r="X37" s="39">
        <f t="shared" si="15"/>
        <v>0</v>
      </c>
      <c r="Y37" s="73">
        <f t="shared" si="15"/>
        <v>0</v>
      </c>
      <c r="Z37" s="39">
        <f t="shared" si="15"/>
        <v>0</v>
      </c>
      <c r="AA37" s="39">
        <f t="shared" si="15"/>
        <v>0</v>
      </c>
      <c r="AB37" s="73">
        <f t="shared" si="15"/>
        <v>0</v>
      </c>
      <c r="AC37" s="41">
        <f>SUM(E37:AB37)</f>
        <v>0</v>
      </c>
      <c r="AD37" s="7"/>
    </row>
    <row r="38" spans="1:36" ht="14.25" hidden="1" customHeight="1" x14ac:dyDescent="0.3">
      <c r="A38" s="15"/>
      <c r="B38" s="46" t="s">
        <v>26</v>
      </c>
      <c r="C38" s="42">
        <v>0</v>
      </c>
      <c r="D38" s="43">
        <f>C38-D39</f>
        <v>0</v>
      </c>
      <c r="E38" s="44">
        <v>0</v>
      </c>
      <c r="F38" s="44">
        <v>0</v>
      </c>
      <c r="G38" s="74">
        <v>0</v>
      </c>
      <c r="H38" s="44">
        <v>0</v>
      </c>
      <c r="I38" s="44">
        <v>0</v>
      </c>
      <c r="J38" s="74">
        <v>0</v>
      </c>
      <c r="K38" s="44">
        <v>0</v>
      </c>
      <c r="L38" s="44">
        <v>0</v>
      </c>
      <c r="M38" s="74">
        <v>0</v>
      </c>
      <c r="N38" s="44">
        <v>0</v>
      </c>
      <c r="O38" s="44">
        <v>0</v>
      </c>
      <c r="P38" s="74">
        <v>0</v>
      </c>
      <c r="Q38" s="44">
        <v>0</v>
      </c>
      <c r="R38" s="44">
        <v>0</v>
      </c>
      <c r="S38" s="74">
        <v>0</v>
      </c>
      <c r="T38" s="44">
        <v>0</v>
      </c>
      <c r="U38" s="44">
        <v>0</v>
      </c>
      <c r="V38" s="74">
        <v>0</v>
      </c>
      <c r="W38" s="44">
        <v>0</v>
      </c>
      <c r="X38" s="44">
        <v>0</v>
      </c>
      <c r="Y38" s="74">
        <v>0</v>
      </c>
      <c r="Z38" s="44">
        <v>0</v>
      </c>
      <c r="AA38" s="44">
        <v>0</v>
      </c>
      <c r="AB38" s="74">
        <v>0</v>
      </c>
      <c r="AC38" s="35">
        <f>SUM(E38:AB38)*D38</f>
        <v>0</v>
      </c>
      <c r="AD38" s="7">
        <v>0</v>
      </c>
    </row>
    <row r="39" spans="1:36" ht="14.25" hidden="1" customHeight="1" x14ac:dyDescent="0.3">
      <c r="A39" s="15"/>
      <c r="B39" s="36" t="s">
        <v>11</v>
      </c>
      <c r="C39" s="37">
        <v>0</v>
      </c>
      <c r="D39" s="38">
        <f>C39*C38</f>
        <v>0</v>
      </c>
      <c r="E39" s="39">
        <f t="shared" ref="E39:AB39" si="16">E38*$D$39</f>
        <v>0</v>
      </c>
      <c r="F39" s="39">
        <f t="shared" si="16"/>
        <v>0</v>
      </c>
      <c r="G39" s="73">
        <f t="shared" si="16"/>
        <v>0</v>
      </c>
      <c r="H39" s="39">
        <f t="shared" si="16"/>
        <v>0</v>
      </c>
      <c r="I39" s="39">
        <f t="shared" si="16"/>
        <v>0</v>
      </c>
      <c r="J39" s="73">
        <f t="shared" si="16"/>
        <v>0</v>
      </c>
      <c r="K39" s="39">
        <f t="shared" si="16"/>
        <v>0</v>
      </c>
      <c r="L39" s="39">
        <f t="shared" si="16"/>
        <v>0</v>
      </c>
      <c r="M39" s="73">
        <f t="shared" si="16"/>
        <v>0</v>
      </c>
      <c r="N39" s="39">
        <f t="shared" si="16"/>
        <v>0</v>
      </c>
      <c r="O39" s="39">
        <f t="shared" si="16"/>
        <v>0</v>
      </c>
      <c r="P39" s="73">
        <f t="shared" si="16"/>
        <v>0</v>
      </c>
      <c r="Q39" s="39">
        <f t="shared" si="16"/>
        <v>0</v>
      </c>
      <c r="R39" s="39">
        <f t="shared" si="16"/>
        <v>0</v>
      </c>
      <c r="S39" s="73">
        <f t="shared" si="16"/>
        <v>0</v>
      </c>
      <c r="T39" s="39">
        <f t="shared" si="16"/>
        <v>0</v>
      </c>
      <c r="U39" s="39">
        <f t="shared" si="16"/>
        <v>0</v>
      </c>
      <c r="V39" s="73">
        <f t="shared" si="16"/>
        <v>0</v>
      </c>
      <c r="W39" s="39">
        <f t="shared" si="16"/>
        <v>0</v>
      </c>
      <c r="X39" s="39">
        <f t="shared" si="16"/>
        <v>0</v>
      </c>
      <c r="Y39" s="73">
        <f t="shared" si="16"/>
        <v>0</v>
      </c>
      <c r="Z39" s="39">
        <f t="shared" si="16"/>
        <v>0</v>
      </c>
      <c r="AA39" s="39">
        <f t="shared" si="16"/>
        <v>0</v>
      </c>
      <c r="AB39" s="73">
        <f t="shared" si="16"/>
        <v>0</v>
      </c>
      <c r="AC39" s="41">
        <f>SUM(E39:AB39)</f>
        <v>0</v>
      </c>
      <c r="AD39" s="7"/>
    </row>
    <row r="40" spans="1:36" ht="14.25" hidden="1" customHeight="1" x14ac:dyDescent="0.3">
      <c r="A40" s="15"/>
      <c r="B40" s="46" t="s">
        <v>26</v>
      </c>
      <c r="C40" s="42">
        <v>0</v>
      </c>
      <c r="D40" s="43">
        <f>C40-D41</f>
        <v>0</v>
      </c>
      <c r="E40" s="44">
        <v>0</v>
      </c>
      <c r="F40" s="44">
        <v>0</v>
      </c>
      <c r="G40" s="74">
        <v>0</v>
      </c>
      <c r="H40" s="44">
        <v>0</v>
      </c>
      <c r="I40" s="44">
        <v>0</v>
      </c>
      <c r="J40" s="74">
        <v>0</v>
      </c>
      <c r="K40" s="44">
        <v>0</v>
      </c>
      <c r="L40" s="44">
        <v>0</v>
      </c>
      <c r="M40" s="74">
        <v>0</v>
      </c>
      <c r="N40" s="44">
        <v>0</v>
      </c>
      <c r="O40" s="44">
        <v>0</v>
      </c>
      <c r="P40" s="74">
        <v>0</v>
      </c>
      <c r="Q40" s="44">
        <v>0</v>
      </c>
      <c r="R40" s="44">
        <v>0</v>
      </c>
      <c r="S40" s="74">
        <v>0</v>
      </c>
      <c r="T40" s="44">
        <v>0</v>
      </c>
      <c r="U40" s="44">
        <v>0</v>
      </c>
      <c r="V40" s="74">
        <v>0</v>
      </c>
      <c r="W40" s="44">
        <v>0</v>
      </c>
      <c r="X40" s="44">
        <v>0</v>
      </c>
      <c r="Y40" s="74">
        <v>0</v>
      </c>
      <c r="Z40" s="44">
        <v>0</v>
      </c>
      <c r="AA40" s="44">
        <v>0</v>
      </c>
      <c r="AB40" s="74">
        <v>0</v>
      </c>
      <c r="AC40" s="35">
        <f>SUM(E40:AB40)*D40</f>
        <v>0</v>
      </c>
      <c r="AD40" s="7">
        <v>0</v>
      </c>
    </row>
    <row r="41" spans="1:36" ht="14.25" hidden="1" customHeight="1" x14ac:dyDescent="0.3">
      <c r="A41" s="15"/>
      <c r="B41" s="36" t="s">
        <v>11</v>
      </c>
      <c r="C41" s="37">
        <v>0</v>
      </c>
      <c r="D41" s="38">
        <f>C41*C40</f>
        <v>0</v>
      </c>
      <c r="E41" s="39">
        <f t="shared" ref="E41:AB41" si="17">E40*$D$40</f>
        <v>0</v>
      </c>
      <c r="F41" s="39">
        <f t="shared" si="17"/>
        <v>0</v>
      </c>
      <c r="G41" s="73">
        <f t="shared" si="17"/>
        <v>0</v>
      </c>
      <c r="H41" s="39">
        <f t="shared" si="17"/>
        <v>0</v>
      </c>
      <c r="I41" s="39">
        <f t="shared" si="17"/>
        <v>0</v>
      </c>
      <c r="J41" s="73">
        <f t="shared" si="17"/>
        <v>0</v>
      </c>
      <c r="K41" s="39">
        <f t="shared" si="17"/>
        <v>0</v>
      </c>
      <c r="L41" s="39">
        <f t="shared" si="17"/>
        <v>0</v>
      </c>
      <c r="M41" s="73">
        <f t="shared" si="17"/>
        <v>0</v>
      </c>
      <c r="N41" s="39">
        <f t="shared" si="17"/>
        <v>0</v>
      </c>
      <c r="O41" s="39">
        <f t="shared" si="17"/>
        <v>0</v>
      </c>
      <c r="P41" s="73">
        <f t="shared" si="17"/>
        <v>0</v>
      </c>
      <c r="Q41" s="39">
        <f t="shared" si="17"/>
        <v>0</v>
      </c>
      <c r="R41" s="39">
        <f t="shared" si="17"/>
        <v>0</v>
      </c>
      <c r="S41" s="73">
        <f t="shared" si="17"/>
        <v>0</v>
      </c>
      <c r="T41" s="39">
        <f t="shared" si="17"/>
        <v>0</v>
      </c>
      <c r="U41" s="39">
        <f t="shared" si="17"/>
        <v>0</v>
      </c>
      <c r="V41" s="73">
        <f t="shared" si="17"/>
        <v>0</v>
      </c>
      <c r="W41" s="39">
        <f t="shared" si="17"/>
        <v>0</v>
      </c>
      <c r="X41" s="39">
        <f t="shared" si="17"/>
        <v>0</v>
      </c>
      <c r="Y41" s="73">
        <f t="shared" si="17"/>
        <v>0</v>
      </c>
      <c r="Z41" s="39">
        <f t="shared" si="17"/>
        <v>0</v>
      </c>
      <c r="AA41" s="39">
        <f t="shared" si="17"/>
        <v>0</v>
      </c>
      <c r="AB41" s="73">
        <f t="shared" si="17"/>
        <v>0</v>
      </c>
      <c r="AC41" s="41">
        <f>SUM(E41:AB41)</f>
        <v>0</v>
      </c>
      <c r="AD41" s="7"/>
    </row>
    <row r="42" spans="1:36" ht="14.25" customHeight="1" x14ac:dyDescent="0.3">
      <c r="A42" s="15"/>
      <c r="B42" s="52" t="s">
        <v>21</v>
      </c>
      <c r="C42" s="53"/>
      <c r="D42" s="53"/>
      <c r="E42" s="75">
        <f t="shared" ref="E42:AB42" si="18">E28*$D$28+E30*$D$30+E32*$D$32+E34*$D$34+E36*$D$36+E38*$D$38+E40*$D$40</f>
        <v>2400</v>
      </c>
      <c r="F42" s="75">
        <f t="shared" si="18"/>
        <v>2400</v>
      </c>
      <c r="G42" s="75">
        <f t="shared" si="18"/>
        <v>2400</v>
      </c>
      <c r="H42" s="75">
        <f t="shared" si="18"/>
        <v>2400</v>
      </c>
      <c r="I42" s="75">
        <f t="shared" si="18"/>
        <v>2400</v>
      </c>
      <c r="J42" s="75">
        <f t="shared" si="18"/>
        <v>2400</v>
      </c>
      <c r="K42" s="75">
        <f t="shared" si="18"/>
        <v>2400</v>
      </c>
      <c r="L42" s="75">
        <f t="shared" si="18"/>
        <v>2400</v>
      </c>
      <c r="M42" s="75">
        <f t="shared" si="18"/>
        <v>2400</v>
      </c>
      <c r="N42" s="75">
        <f t="shared" si="18"/>
        <v>0</v>
      </c>
      <c r="O42" s="75">
        <f t="shared" si="18"/>
        <v>0</v>
      </c>
      <c r="P42" s="75">
        <f t="shared" si="18"/>
        <v>0</v>
      </c>
      <c r="Q42" s="75">
        <f t="shared" si="18"/>
        <v>0</v>
      </c>
      <c r="R42" s="75">
        <f t="shared" si="18"/>
        <v>0</v>
      </c>
      <c r="S42" s="75">
        <f t="shared" si="18"/>
        <v>0</v>
      </c>
      <c r="T42" s="75">
        <f t="shared" si="18"/>
        <v>0</v>
      </c>
      <c r="U42" s="75">
        <f t="shared" si="18"/>
        <v>0</v>
      </c>
      <c r="V42" s="75">
        <f t="shared" si="18"/>
        <v>0</v>
      </c>
      <c r="W42" s="75">
        <f t="shared" si="18"/>
        <v>0</v>
      </c>
      <c r="X42" s="75">
        <f t="shared" si="18"/>
        <v>0</v>
      </c>
      <c r="Y42" s="75">
        <f t="shared" si="18"/>
        <v>0</v>
      </c>
      <c r="Z42" s="75">
        <f t="shared" si="18"/>
        <v>0</v>
      </c>
      <c r="AA42" s="75">
        <f t="shared" si="18"/>
        <v>0</v>
      </c>
      <c r="AB42" s="75">
        <f t="shared" si="18"/>
        <v>0</v>
      </c>
      <c r="AC42" s="75">
        <f>SUM(E42:AB42)</f>
        <v>21600</v>
      </c>
      <c r="AD42" s="10" t="s">
        <v>4</v>
      </c>
    </row>
    <row r="43" spans="1:36" ht="14.25" customHeight="1" x14ac:dyDescent="0.3">
      <c r="A43" s="15"/>
      <c r="B43" s="55" t="s">
        <v>23</v>
      </c>
      <c r="C43" s="56"/>
      <c r="D43" s="56"/>
      <c r="E43" s="76">
        <f t="shared" ref="E43:AB43" si="19">E29+E31+E33+E35+E37+E39+E41</f>
        <v>0</v>
      </c>
      <c r="F43" s="76">
        <f t="shared" si="19"/>
        <v>0</v>
      </c>
      <c r="G43" s="77">
        <f t="shared" si="19"/>
        <v>0</v>
      </c>
      <c r="H43" s="76">
        <f t="shared" si="19"/>
        <v>0</v>
      </c>
      <c r="I43" s="76">
        <f t="shared" si="19"/>
        <v>0</v>
      </c>
      <c r="J43" s="77">
        <f t="shared" si="19"/>
        <v>0</v>
      </c>
      <c r="K43" s="76">
        <f t="shared" si="19"/>
        <v>0</v>
      </c>
      <c r="L43" s="76">
        <f t="shared" si="19"/>
        <v>0</v>
      </c>
      <c r="M43" s="77">
        <f t="shared" si="19"/>
        <v>0</v>
      </c>
      <c r="N43" s="76">
        <f t="shared" si="19"/>
        <v>0</v>
      </c>
      <c r="O43" s="76">
        <f t="shared" si="19"/>
        <v>0</v>
      </c>
      <c r="P43" s="77">
        <f t="shared" si="19"/>
        <v>0</v>
      </c>
      <c r="Q43" s="76">
        <f t="shared" si="19"/>
        <v>0</v>
      </c>
      <c r="R43" s="76">
        <f t="shared" si="19"/>
        <v>0</v>
      </c>
      <c r="S43" s="77">
        <f t="shared" si="19"/>
        <v>0</v>
      </c>
      <c r="T43" s="76">
        <f t="shared" si="19"/>
        <v>0</v>
      </c>
      <c r="U43" s="76">
        <f t="shared" si="19"/>
        <v>0</v>
      </c>
      <c r="V43" s="77">
        <f t="shared" si="19"/>
        <v>0</v>
      </c>
      <c r="W43" s="76">
        <f t="shared" si="19"/>
        <v>0</v>
      </c>
      <c r="X43" s="76">
        <f t="shared" si="19"/>
        <v>0</v>
      </c>
      <c r="Y43" s="77">
        <f t="shared" si="19"/>
        <v>0</v>
      </c>
      <c r="Z43" s="76">
        <f t="shared" si="19"/>
        <v>0</v>
      </c>
      <c r="AA43" s="76">
        <f t="shared" si="19"/>
        <v>0</v>
      </c>
      <c r="AB43" s="77">
        <f t="shared" si="19"/>
        <v>0</v>
      </c>
      <c r="AC43" s="76">
        <f>SUM(E43:AB43)</f>
        <v>0</v>
      </c>
      <c r="AD43" s="10"/>
    </row>
    <row r="44" spans="1:36" ht="14.25" customHeight="1" x14ac:dyDescent="0.3">
      <c r="A44" s="15"/>
      <c r="B44" s="59" t="s">
        <v>22</v>
      </c>
      <c r="C44" s="60"/>
      <c r="D44" s="60"/>
      <c r="E44" s="78">
        <f t="shared" ref="E44:AC44" si="20">E42+E43</f>
        <v>2400</v>
      </c>
      <c r="F44" s="78">
        <f t="shared" si="20"/>
        <v>2400</v>
      </c>
      <c r="G44" s="79">
        <f t="shared" si="20"/>
        <v>2400</v>
      </c>
      <c r="H44" s="78">
        <f t="shared" si="20"/>
        <v>2400</v>
      </c>
      <c r="I44" s="78">
        <f t="shared" si="20"/>
        <v>2400</v>
      </c>
      <c r="J44" s="79">
        <f t="shared" si="20"/>
        <v>2400</v>
      </c>
      <c r="K44" s="78">
        <f t="shared" si="20"/>
        <v>2400</v>
      </c>
      <c r="L44" s="78">
        <f t="shared" si="20"/>
        <v>2400</v>
      </c>
      <c r="M44" s="79">
        <f t="shared" si="20"/>
        <v>2400</v>
      </c>
      <c r="N44" s="78">
        <f t="shared" si="20"/>
        <v>0</v>
      </c>
      <c r="O44" s="78">
        <f t="shared" si="20"/>
        <v>0</v>
      </c>
      <c r="P44" s="79">
        <f t="shared" si="20"/>
        <v>0</v>
      </c>
      <c r="Q44" s="78">
        <f t="shared" si="20"/>
        <v>0</v>
      </c>
      <c r="R44" s="78">
        <f t="shared" si="20"/>
        <v>0</v>
      </c>
      <c r="S44" s="79">
        <f t="shared" si="20"/>
        <v>0</v>
      </c>
      <c r="T44" s="78">
        <f t="shared" si="20"/>
        <v>0</v>
      </c>
      <c r="U44" s="78">
        <f t="shared" si="20"/>
        <v>0</v>
      </c>
      <c r="V44" s="79">
        <f t="shared" si="20"/>
        <v>0</v>
      </c>
      <c r="W44" s="78">
        <f t="shared" si="20"/>
        <v>0</v>
      </c>
      <c r="X44" s="78">
        <f t="shared" si="20"/>
        <v>0</v>
      </c>
      <c r="Y44" s="79">
        <f t="shared" si="20"/>
        <v>0</v>
      </c>
      <c r="Z44" s="78">
        <f t="shared" si="20"/>
        <v>0</v>
      </c>
      <c r="AA44" s="78">
        <f t="shared" si="20"/>
        <v>0</v>
      </c>
      <c r="AB44" s="79">
        <f t="shared" si="20"/>
        <v>0</v>
      </c>
      <c r="AC44" s="80">
        <f t="shared" si="20"/>
        <v>21600</v>
      </c>
      <c r="AD44" s="81">
        <f>AD28+AD30+AD32+AD34+AD36+AD38+AD40</f>
        <v>21600</v>
      </c>
    </row>
    <row r="45" spans="1:36" ht="14.25" customHeight="1" x14ac:dyDescent="0.3">
      <c r="A45" s="15"/>
      <c r="B45" s="65"/>
      <c r="C45" s="82"/>
      <c r="D45" s="82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8"/>
      <c r="AD45" s="69"/>
      <c r="AH45" s="70">
        <f>AC76</f>
        <v>135483.35</v>
      </c>
      <c r="AI45" s="70">
        <f>0.03*0.5*AH45</f>
        <v>2032.2502500000001</v>
      </c>
    </row>
    <row r="46" spans="1:36" ht="14.25" customHeight="1" x14ac:dyDescent="0.3">
      <c r="A46" s="15"/>
      <c r="B46" s="83" t="s">
        <v>27</v>
      </c>
      <c r="C46" s="84"/>
      <c r="D46" s="84"/>
      <c r="E46" s="8" t="s">
        <v>28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28"/>
      <c r="AD46" s="29"/>
      <c r="AH46" s="70"/>
      <c r="AJ46" s="70"/>
    </row>
    <row r="47" spans="1:36" ht="14.25" hidden="1" customHeight="1" x14ac:dyDescent="0.3">
      <c r="A47" s="15"/>
      <c r="B47" s="4" t="s">
        <v>29</v>
      </c>
      <c r="C47" s="4"/>
      <c r="D47" s="4"/>
      <c r="E47" s="85">
        <v>0</v>
      </c>
      <c r="F47" s="85">
        <v>0</v>
      </c>
      <c r="G47" s="86">
        <v>0</v>
      </c>
      <c r="H47" s="85">
        <v>0</v>
      </c>
      <c r="I47" s="85">
        <v>0</v>
      </c>
      <c r="J47" s="86">
        <v>0</v>
      </c>
      <c r="K47" s="85">
        <v>0</v>
      </c>
      <c r="L47" s="85">
        <v>0</v>
      </c>
      <c r="M47" s="86">
        <v>0</v>
      </c>
      <c r="N47" s="85">
        <v>0</v>
      </c>
      <c r="O47" s="85">
        <v>0</v>
      </c>
      <c r="P47" s="86">
        <v>0</v>
      </c>
      <c r="Q47" s="85">
        <v>0</v>
      </c>
      <c r="R47" s="85">
        <v>0</v>
      </c>
      <c r="S47" s="86">
        <v>0</v>
      </c>
      <c r="T47" s="85">
        <v>0</v>
      </c>
      <c r="U47" s="85">
        <v>0</v>
      </c>
      <c r="V47" s="86">
        <v>0</v>
      </c>
      <c r="W47" s="85">
        <v>0</v>
      </c>
      <c r="X47" s="85">
        <v>0</v>
      </c>
      <c r="Y47" s="86">
        <v>0</v>
      </c>
      <c r="Z47" s="85">
        <v>0</v>
      </c>
      <c r="AA47" s="85">
        <v>0</v>
      </c>
      <c r="AB47" s="86">
        <v>0</v>
      </c>
      <c r="AC47" s="87">
        <f>SUM(E47:AB47)</f>
        <v>0</v>
      </c>
      <c r="AD47" s="88">
        <v>0</v>
      </c>
    </row>
    <row r="48" spans="1:36" ht="14.25" hidden="1" customHeight="1" x14ac:dyDescent="0.3">
      <c r="A48" s="15"/>
      <c r="B48" s="3" t="s">
        <v>30</v>
      </c>
      <c r="C48" s="3"/>
      <c r="D48" s="3"/>
      <c r="E48" s="89">
        <v>0</v>
      </c>
      <c r="F48" s="89">
        <v>0</v>
      </c>
      <c r="G48" s="90">
        <v>0</v>
      </c>
      <c r="H48" s="89">
        <v>0</v>
      </c>
      <c r="I48" s="89">
        <v>0</v>
      </c>
      <c r="J48" s="90">
        <v>0</v>
      </c>
      <c r="K48" s="89">
        <v>0</v>
      </c>
      <c r="L48" s="89">
        <v>0</v>
      </c>
      <c r="M48" s="90">
        <v>0</v>
      </c>
      <c r="N48" s="89">
        <v>0</v>
      </c>
      <c r="O48" s="89">
        <v>0</v>
      </c>
      <c r="P48" s="90">
        <v>0</v>
      </c>
      <c r="Q48" s="89">
        <v>0</v>
      </c>
      <c r="R48" s="89">
        <v>0</v>
      </c>
      <c r="S48" s="90">
        <v>0</v>
      </c>
      <c r="T48" s="89">
        <v>0</v>
      </c>
      <c r="U48" s="89">
        <v>0</v>
      </c>
      <c r="V48" s="90">
        <v>0</v>
      </c>
      <c r="W48" s="89">
        <v>0</v>
      </c>
      <c r="X48" s="89">
        <v>0</v>
      </c>
      <c r="Y48" s="90">
        <v>0</v>
      </c>
      <c r="Z48" s="89">
        <v>0</v>
      </c>
      <c r="AA48" s="89">
        <v>0</v>
      </c>
      <c r="AB48" s="90">
        <v>0</v>
      </c>
      <c r="AC48" s="91">
        <f>SUM(E48:AB48)</f>
        <v>0</v>
      </c>
      <c r="AD48" s="88">
        <v>0</v>
      </c>
    </row>
    <row r="49" spans="1:30" ht="14.25" hidden="1" customHeight="1" x14ac:dyDescent="0.3">
      <c r="A49" s="15"/>
      <c r="B49" s="3" t="s">
        <v>31</v>
      </c>
      <c r="C49" s="3"/>
      <c r="D49" s="3"/>
      <c r="E49" s="89">
        <v>0</v>
      </c>
      <c r="F49" s="89">
        <v>0</v>
      </c>
      <c r="G49" s="90">
        <v>0</v>
      </c>
      <c r="H49" s="89">
        <v>0</v>
      </c>
      <c r="I49" s="89">
        <v>0</v>
      </c>
      <c r="J49" s="90">
        <v>0</v>
      </c>
      <c r="K49" s="89">
        <v>0</v>
      </c>
      <c r="L49" s="89">
        <v>0</v>
      </c>
      <c r="M49" s="90">
        <v>0</v>
      </c>
      <c r="N49" s="89">
        <v>0</v>
      </c>
      <c r="O49" s="89">
        <v>0</v>
      </c>
      <c r="P49" s="90">
        <v>0</v>
      </c>
      <c r="Q49" s="89">
        <v>0</v>
      </c>
      <c r="R49" s="89">
        <v>0</v>
      </c>
      <c r="S49" s="90">
        <v>0</v>
      </c>
      <c r="T49" s="89">
        <v>0</v>
      </c>
      <c r="U49" s="89">
        <v>0</v>
      </c>
      <c r="V49" s="90">
        <v>0</v>
      </c>
      <c r="W49" s="89">
        <v>0</v>
      </c>
      <c r="X49" s="89">
        <v>0</v>
      </c>
      <c r="Y49" s="90">
        <v>0</v>
      </c>
      <c r="Z49" s="89">
        <v>0</v>
      </c>
      <c r="AA49" s="89">
        <v>0</v>
      </c>
      <c r="AB49" s="90">
        <v>0</v>
      </c>
      <c r="AC49" s="91">
        <f>SUM(E49:AB49)</f>
        <v>0</v>
      </c>
      <c r="AD49" s="88">
        <v>0</v>
      </c>
    </row>
    <row r="50" spans="1:30" ht="14.25" hidden="1" customHeight="1" x14ac:dyDescent="0.3">
      <c r="A50" s="15"/>
      <c r="B50" s="3" t="s">
        <v>32</v>
      </c>
      <c r="C50" s="3"/>
      <c r="D50" s="3"/>
      <c r="E50" s="92">
        <v>0</v>
      </c>
      <c r="F50" s="92">
        <v>0</v>
      </c>
      <c r="G50" s="93">
        <v>0</v>
      </c>
      <c r="H50" s="92">
        <v>0</v>
      </c>
      <c r="I50" s="92">
        <v>0</v>
      </c>
      <c r="J50" s="93">
        <v>0</v>
      </c>
      <c r="K50" s="92">
        <v>0</v>
      </c>
      <c r="L50" s="92">
        <v>0</v>
      </c>
      <c r="M50" s="93">
        <v>0</v>
      </c>
      <c r="N50" s="92">
        <v>0</v>
      </c>
      <c r="O50" s="92">
        <v>0</v>
      </c>
      <c r="P50" s="93">
        <v>0</v>
      </c>
      <c r="Q50" s="92">
        <v>0</v>
      </c>
      <c r="R50" s="92">
        <v>0</v>
      </c>
      <c r="S50" s="93">
        <v>0</v>
      </c>
      <c r="T50" s="92">
        <v>0</v>
      </c>
      <c r="U50" s="92">
        <v>0</v>
      </c>
      <c r="V50" s="93">
        <v>0</v>
      </c>
      <c r="W50" s="92">
        <v>0</v>
      </c>
      <c r="X50" s="92">
        <v>0</v>
      </c>
      <c r="Y50" s="93">
        <v>0</v>
      </c>
      <c r="Z50" s="92">
        <v>0</v>
      </c>
      <c r="AA50" s="92">
        <v>0</v>
      </c>
      <c r="AB50" s="93">
        <v>0</v>
      </c>
      <c r="AC50" s="94">
        <f>SUM(E50:AB50)</f>
        <v>0</v>
      </c>
      <c r="AD50" s="88">
        <v>0</v>
      </c>
    </row>
    <row r="51" spans="1:30" ht="14.25" customHeight="1" x14ac:dyDescent="0.3">
      <c r="A51" s="15"/>
      <c r="B51" s="95" t="s">
        <v>33</v>
      </c>
      <c r="C51" s="96"/>
      <c r="D51" s="96"/>
      <c r="E51" s="97">
        <f t="shared" ref="E51:AB51" si="21">SUM(E47:E50)</f>
        <v>0</v>
      </c>
      <c r="F51" s="97">
        <f t="shared" si="21"/>
        <v>0</v>
      </c>
      <c r="G51" s="98">
        <f t="shared" si="21"/>
        <v>0</v>
      </c>
      <c r="H51" s="97">
        <f t="shared" si="21"/>
        <v>0</v>
      </c>
      <c r="I51" s="97">
        <f t="shared" si="21"/>
        <v>0</v>
      </c>
      <c r="J51" s="98">
        <f t="shared" si="21"/>
        <v>0</v>
      </c>
      <c r="K51" s="97">
        <f t="shared" si="21"/>
        <v>0</v>
      </c>
      <c r="L51" s="97">
        <f t="shared" si="21"/>
        <v>0</v>
      </c>
      <c r="M51" s="98">
        <f t="shared" si="21"/>
        <v>0</v>
      </c>
      <c r="N51" s="97">
        <f t="shared" si="21"/>
        <v>0</v>
      </c>
      <c r="O51" s="97">
        <f t="shared" si="21"/>
        <v>0</v>
      </c>
      <c r="P51" s="98">
        <f t="shared" si="21"/>
        <v>0</v>
      </c>
      <c r="Q51" s="97">
        <f t="shared" si="21"/>
        <v>0</v>
      </c>
      <c r="R51" s="97">
        <f t="shared" si="21"/>
        <v>0</v>
      </c>
      <c r="S51" s="98">
        <f t="shared" si="21"/>
        <v>0</v>
      </c>
      <c r="T51" s="97">
        <f t="shared" si="21"/>
        <v>0</v>
      </c>
      <c r="U51" s="97">
        <f t="shared" si="21"/>
        <v>0</v>
      </c>
      <c r="V51" s="98">
        <f t="shared" si="21"/>
        <v>0</v>
      </c>
      <c r="W51" s="97">
        <f t="shared" si="21"/>
        <v>0</v>
      </c>
      <c r="X51" s="97">
        <f t="shared" si="21"/>
        <v>0</v>
      </c>
      <c r="Y51" s="98">
        <f t="shared" si="21"/>
        <v>0</v>
      </c>
      <c r="Z51" s="97">
        <f t="shared" si="21"/>
        <v>0</v>
      </c>
      <c r="AA51" s="97">
        <f t="shared" si="21"/>
        <v>0</v>
      </c>
      <c r="AB51" s="98">
        <f t="shared" si="21"/>
        <v>0</v>
      </c>
      <c r="AC51" s="99">
        <f>SUM(E51:AB51)</f>
        <v>0</v>
      </c>
      <c r="AD51" s="81">
        <f>SUM(AD47:AD50)</f>
        <v>0</v>
      </c>
    </row>
    <row r="52" spans="1:30" ht="14.25" customHeight="1" x14ac:dyDescent="0.3">
      <c r="A52" s="15"/>
      <c r="B52" s="65"/>
      <c r="C52" s="100"/>
      <c r="D52" s="100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8"/>
      <c r="AD52" s="69"/>
    </row>
    <row r="53" spans="1:30" ht="14.25" customHeight="1" x14ac:dyDescent="0.3">
      <c r="A53" s="15"/>
      <c r="B53" s="2" t="s">
        <v>34</v>
      </c>
      <c r="C53" s="2"/>
      <c r="D53" s="2"/>
      <c r="E53" s="8" t="s">
        <v>28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28"/>
      <c r="AD53" s="29"/>
    </row>
    <row r="54" spans="1:30" ht="14.25" hidden="1" customHeight="1" x14ac:dyDescent="0.3">
      <c r="A54" s="15"/>
      <c r="B54" s="4" t="s">
        <v>35</v>
      </c>
      <c r="C54" s="4"/>
      <c r="D54" s="4"/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5">
        <v>0</v>
      </c>
      <c r="R54" s="85">
        <v>0</v>
      </c>
      <c r="S54" s="86">
        <v>0</v>
      </c>
      <c r="T54" s="85">
        <v>0</v>
      </c>
      <c r="U54" s="85">
        <v>0</v>
      </c>
      <c r="V54" s="86">
        <v>0</v>
      </c>
      <c r="W54" s="85">
        <v>0</v>
      </c>
      <c r="X54" s="85">
        <v>0</v>
      </c>
      <c r="Y54" s="86">
        <v>0</v>
      </c>
      <c r="Z54" s="85">
        <v>0</v>
      </c>
      <c r="AA54" s="85">
        <v>0</v>
      </c>
      <c r="AB54" s="86">
        <v>0</v>
      </c>
      <c r="AC54" s="87">
        <f>SUM(E54:AB54)</f>
        <v>0</v>
      </c>
      <c r="AD54" s="88">
        <v>0</v>
      </c>
    </row>
    <row r="55" spans="1:30" ht="14.25" hidden="1" customHeight="1" x14ac:dyDescent="0.3">
      <c r="A55" s="15"/>
      <c r="B55" s="3" t="s">
        <v>36</v>
      </c>
      <c r="C55" s="3"/>
      <c r="D55" s="3"/>
      <c r="E55" s="89">
        <v>0</v>
      </c>
      <c r="F55" s="89">
        <v>0</v>
      </c>
      <c r="G55" s="90">
        <v>0</v>
      </c>
      <c r="H55" s="89">
        <v>0</v>
      </c>
      <c r="I55" s="89">
        <v>0</v>
      </c>
      <c r="J55" s="90">
        <v>0</v>
      </c>
      <c r="K55" s="89">
        <v>0</v>
      </c>
      <c r="L55" s="89">
        <v>0</v>
      </c>
      <c r="M55" s="90">
        <v>0</v>
      </c>
      <c r="N55" s="89">
        <v>0</v>
      </c>
      <c r="O55" s="89">
        <v>0</v>
      </c>
      <c r="P55" s="90">
        <v>0</v>
      </c>
      <c r="Q55" s="89">
        <v>0</v>
      </c>
      <c r="R55" s="89">
        <v>0</v>
      </c>
      <c r="S55" s="90">
        <v>0</v>
      </c>
      <c r="T55" s="89">
        <v>0</v>
      </c>
      <c r="U55" s="89">
        <v>0</v>
      </c>
      <c r="V55" s="90">
        <v>0</v>
      </c>
      <c r="W55" s="89">
        <v>0</v>
      </c>
      <c r="X55" s="89">
        <v>0</v>
      </c>
      <c r="Y55" s="90">
        <v>0</v>
      </c>
      <c r="Z55" s="89">
        <v>0</v>
      </c>
      <c r="AA55" s="89">
        <v>0</v>
      </c>
      <c r="AB55" s="90">
        <v>0</v>
      </c>
      <c r="AC55" s="91">
        <f>SUM(E55:AB55)</f>
        <v>0</v>
      </c>
      <c r="AD55" s="88">
        <v>0</v>
      </c>
    </row>
    <row r="56" spans="1:30" ht="14.25" hidden="1" customHeight="1" x14ac:dyDescent="0.3">
      <c r="A56" s="15"/>
      <c r="B56" s="3" t="s">
        <v>37</v>
      </c>
      <c r="C56" s="3"/>
      <c r="D56" s="3"/>
      <c r="E56" s="89">
        <v>0</v>
      </c>
      <c r="F56" s="89">
        <v>0</v>
      </c>
      <c r="G56" s="90">
        <v>0</v>
      </c>
      <c r="H56" s="89">
        <v>0</v>
      </c>
      <c r="I56" s="89">
        <v>0</v>
      </c>
      <c r="J56" s="90">
        <v>0</v>
      </c>
      <c r="K56" s="89">
        <v>0</v>
      </c>
      <c r="L56" s="89">
        <v>0</v>
      </c>
      <c r="M56" s="90">
        <v>0</v>
      </c>
      <c r="N56" s="89">
        <v>0</v>
      </c>
      <c r="O56" s="89">
        <v>0</v>
      </c>
      <c r="P56" s="90">
        <v>0</v>
      </c>
      <c r="Q56" s="89">
        <v>0</v>
      </c>
      <c r="R56" s="89">
        <v>0</v>
      </c>
      <c r="S56" s="90">
        <v>0</v>
      </c>
      <c r="T56" s="89">
        <v>0</v>
      </c>
      <c r="U56" s="89">
        <v>0</v>
      </c>
      <c r="V56" s="90">
        <v>0</v>
      </c>
      <c r="W56" s="89">
        <v>0</v>
      </c>
      <c r="X56" s="89">
        <v>0</v>
      </c>
      <c r="Y56" s="90">
        <v>0</v>
      </c>
      <c r="Z56" s="89">
        <v>0</v>
      </c>
      <c r="AA56" s="89">
        <v>0</v>
      </c>
      <c r="AB56" s="90">
        <v>0</v>
      </c>
      <c r="AC56" s="91">
        <f>SUM(E56:AB56)</f>
        <v>0</v>
      </c>
      <c r="AD56" s="88">
        <v>0</v>
      </c>
    </row>
    <row r="57" spans="1:30" ht="14.25" hidden="1" customHeight="1" x14ac:dyDescent="0.3">
      <c r="A57" s="15"/>
      <c r="B57" s="3" t="s">
        <v>37</v>
      </c>
      <c r="C57" s="3"/>
      <c r="D57" s="3"/>
      <c r="E57" s="92">
        <v>0</v>
      </c>
      <c r="F57" s="92">
        <v>0</v>
      </c>
      <c r="G57" s="93">
        <v>0</v>
      </c>
      <c r="H57" s="92">
        <v>0</v>
      </c>
      <c r="I57" s="92">
        <v>0</v>
      </c>
      <c r="J57" s="93">
        <v>0</v>
      </c>
      <c r="K57" s="92">
        <v>0</v>
      </c>
      <c r="L57" s="92">
        <v>0</v>
      </c>
      <c r="M57" s="93">
        <v>0</v>
      </c>
      <c r="N57" s="92">
        <v>0</v>
      </c>
      <c r="O57" s="92">
        <v>0</v>
      </c>
      <c r="P57" s="93">
        <v>0</v>
      </c>
      <c r="Q57" s="92">
        <v>0</v>
      </c>
      <c r="R57" s="92">
        <v>0</v>
      </c>
      <c r="S57" s="93">
        <v>0</v>
      </c>
      <c r="T57" s="92">
        <v>0</v>
      </c>
      <c r="U57" s="92">
        <v>0</v>
      </c>
      <c r="V57" s="93">
        <v>0</v>
      </c>
      <c r="W57" s="92">
        <v>0</v>
      </c>
      <c r="X57" s="92">
        <v>0</v>
      </c>
      <c r="Y57" s="93">
        <v>0</v>
      </c>
      <c r="Z57" s="92">
        <v>0</v>
      </c>
      <c r="AA57" s="92">
        <v>0</v>
      </c>
      <c r="AB57" s="93">
        <v>0</v>
      </c>
      <c r="AC57" s="94">
        <f>SUM(E57:AB57)</f>
        <v>0</v>
      </c>
      <c r="AD57" s="88">
        <v>0</v>
      </c>
    </row>
    <row r="58" spans="1:30" ht="14.25" customHeight="1" x14ac:dyDescent="0.3">
      <c r="A58" s="15"/>
      <c r="B58" s="95" t="s">
        <v>33</v>
      </c>
      <c r="C58" s="96"/>
      <c r="D58" s="96"/>
      <c r="E58" s="97">
        <f t="shared" ref="E58:AB58" si="22">SUM(E54:E57)</f>
        <v>0</v>
      </c>
      <c r="F58" s="97">
        <f t="shared" si="22"/>
        <v>0</v>
      </c>
      <c r="G58" s="98">
        <f t="shared" si="22"/>
        <v>0</v>
      </c>
      <c r="H58" s="97">
        <f t="shared" si="22"/>
        <v>0</v>
      </c>
      <c r="I58" s="97">
        <f t="shared" si="22"/>
        <v>0</v>
      </c>
      <c r="J58" s="98">
        <f t="shared" si="22"/>
        <v>0</v>
      </c>
      <c r="K58" s="97">
        <f t="shared" si="22"/>
        <v>0</v>
      </c>
      <c r="L58" s="97">
        <f t="shared" si="22"/>
        <v>0</v>
      </c>
      <c r="M58" s="98">
        <f t="shared" si="22"/>
        <v>0</v>
      </c>
      <c r="N58" s="97">
        <f t="shared" si="22"/>
        <v>0</v>
      </c>
      <c r="O58" s="97">
        <f t="shared" si="22"/>
        <v>0</v>
      </c>
      <c r="P58" s="98">
        <f t="shared" si="22"/>
        <v>0</v>
      </c>
      <c r="Q58" s="97">
        <f t="shared" si="22"/>
        <v>0</v>
      </c>
      <c r="R58" s="97">
        <f t="shared" si="22"/>
        <v>0</v>
      </c>
      <c r="S58" s="98">
        <f t="shared" si="22"/>
        <v>0</v>
      </c>
      <c r="T58" s="97">
        <f t="shared" si="22"/>
        <v>0</v>
      </c>
      <c r="U58" s="97">
        <f t="shared" si="22"/>
        <v>0</v>
      </c>
      <c r="V58" s="98">
        <f t="shared" si="22"/>
        <v>0</v>
      </c>
      <c r="W58" s="97">
        <f t="shared" si="22"/>
        <v>0</v>
      </c>
      <c r="X58" s="97">
        <f t="shared" si="22"/>
        <v>0</v>
      </c>
      <c r="Y58" s="98">
        <f t="shared" si="22"/>
        <v>0</v>
      </c>
      <c r="Z58" s="97">
        <f t="shared" si="22"/>
        <v>0</v>
      </c>
      <c r="AA58" s="97">
        <f t="shared" si="22"/>
        <v>0</v>
      </c>
      <c r="AB58" s="98">
        <f t="shared" si="22"/>
        <v>0</v>
      </c>
      <c r="AC58" s="99">
        <f>SUM(E58:AB58)</f>
        <v>0</v>
      </c>
      <c r="AD58" s="81">
        <f>SUM(AD54:AD57)</f>
        <v>0</v>
      </c>
    </row>
    <row r="59" spans="1:30" ht="14.25" customHeight="1" x14ac:dyDescent="0.3">
      <c r="A59" s="15"/>
      <c r="B59" s="65"/>
      <c r="C59" s="100"/>
      <c r="D59" s="100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8"/>
      <c r="AD59" s="69"/>
    </row>
    <row r="60" spans="1:30" ht="14.25" customHeight="1" x14ac:dyDescent="0.3">
      <c r="A60" s="15"/>
      <c r="B60" s="1" t="s">
        <v>38</v>
      </c>
      <c r="C60" s="1"/>
      <c r="D60" s="1"/>
      <c r="E60" s="8" t="s">
        <v>28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28"/>
      <c r="AD60" s="29"/>
    </row>
    <row r="61" spans="1:30" ht="14.25" hidden="1" customHeight="1" x14ac:dyDescent="0.3">
      <c r="A61" s="15"/>
      <c r="B61" s="4" t="s">
        <v>39</v>
      </c>
      <c r="C61" s="4"/>
      <c r="D61" s="4"/>
      <c r="E61" s="85">
        <v>0</v>
      </c>
      <c r="F61" s="85">
        <v>0</v>
      </c>
      <c r="G61" s="86">
        <v>0</v>
      </c>
      <c r="H61" s="85">
        <v>0</v>
      </c>
      <c r="I61" s="85">
        <v>0</v>
      </c>
      <c r="J61" s="86">
        <v>0</v>
      </c>
      <c r="K61" s="85">
        <v>0</v>
      </c>
      <c r="L61" s="85">
        <v>0</v>
      </c>
      <c r="M61" s="86">
        <v>0</v>
      </c>
      <c r="N61" s="85">
        <v>0</v>
      </c>
      <c r="O61" s="85">
        <v>0</v>
      </c>
      <c r="P61" s="86">
        <v>0</v>
      </c>
      <c r="Q61" s="85">
        <v>0</v>
      </c>
      <c r="R61" s="85">
        <v>0</v>
      </c>
      <c r="S61" s="86">
        <v>0</v>
      </c>
      <c r="T61" s="85">
        <v>0</v>
      </c>
      <c r="U61" s="85">
        <v>0</v>
      </c>
      <c r="V61" s="86">
        <v>0</v>
      </c>
      <c r="W61" s="85">
        <v>0</v>
      </c>
      <c r="X61" s="85">
        <v>0</v>
      </c>
      <c r="Y61" s="86">
        <v>0</v>
      </c>
      <c r="Z61" s="85">
        <v>0</v>
      </c>
      <c r="AA61" s="85">
        <v>0</v>
      </c>
      <c r="AB61" s="86">
        <v>0</v>
      </c>
      <c r="AC61" s="87">
        <f>SUM(E61:AB61)</f>
        <v>0</v>
      </c>
      <c r="AD61" s="88">
        <v>0</v>
      </c>
    </row>
    <row r="62" spans="1:30" ht="14.25" hidden="1" customHeight="1" x14ac:dyDescent="0.3">
      <c r="A62" s="15"/>
      <c r="B62" s="3" t="s">
        <v>40</v>
      </c>
      <c r="C62" s="3"/>
      <c r="D62" s="3"/>
      <c r="E62" s="89">
        <v>0</v>
      </c>
      <c r="F62" s="89">
        <v>0</v>
      </c>
      <c r="G62" s="90">
        <v>0</v>
      </c>
      <c r="H62" s="89">
        <v>0</v>
      </c>
      <c r="I62" s="89">
        <v>0</v>
      </c>
      <c r="J62" s="90">
        <v>0</v>
      </c>
      <c r="K62" s="89">
        <v>0</v>
      </c>
      <c r="L62" s="89">
        <v>0</v>
      </c>
      <c r="M62" s="90">
        <v>0</v>
      </c>
      <c r="N62" s="89">
        <v>0</v>
      </c>
      <c r="O62" s="89">
        <v>0</v>
      </c>
      <c r="P62" s="90">
        <v>0</v>
      </c>
      <c r="Q62" s="89">
        <v>0</v>
      </c>
      <c r="R62" s="89">
        <v>0</v>
      </c>
      <c r="S62" s="90">
        <v>0</v>
      </c>
      <c r="T62" s="89">
        <v>0</v>
      </c>
      <c r="U62" s="89">
        <v>0</v>
      </c>
      <c r="V62" s="90">
        <v>0</v>
      </c>
      <c r="W62" s="89">
        <v>0</v>
      </c>
      <c r="X62" s="89">
        <v>0</v>
      </c>
      <c r="Y62" s="90">
        <v>0</v>
      </c>
      <c r="Z62" s="89">
        <v>0</v>
      </c>
      <c r="AA62" s="89">
        <v>0</v>
      </c>
      <c r="AB62" s="90">
        <v>0</v>
      </c>
      <c r="AC62" s="91">
        <f>SUM(E62:AB62)</f>
        <v>0</v>
      </c>
      <c r="AD62" s="88">
        <v>0</v>
      </c>
    </row>
    <row r="63" spans="1:30" ht="15" hidden="1" customHeight="1" x14ac:dyDescent="0.3">
      <c r="A63" s="24"/>
      <c r="B63" s="3" t="s">
        <v>41</v>
      </c>
      <c r="C63" s="3"/>
      <c r="D63" s="3"/>
      <c r="E63" s="89">
        <v>0</v>
      </c>
      <c r="F63" s="89">
        <v>0</v>
      </c>
      <c r="G63" s="90">
        <v>0</v>
      </c>
      <c r="H63" s="89">
        <v>0</v>
      </c>
      <c r="I63" s="89">
        <v>0</v>
      </c>
      <c r="J63" s="90">
        <v>0</v>
      </c>
      <c r="K63" s="89">
        <v>0</v>
      </c>
      <c r="L63" s="89">
        <v>0</v>
      </c>
      <c r="M63" s="90">
        <v>0</v>
      </c>
      <c r="N63" s="89">
        <v>0</v>
      </c>
      <c r="O63" s="89">
        <v>0</v>
      </c>
      <c r="P63" s="90">
        <v>0</v>
      </c>
      <c r="Q63" s="89">
        <v>0</v>
      </c>
      <c r="R63" s="89">
        <v>0</v>
      </c>
      <c r="S63" s="90">
        <v>0</v>
      </c>
      <c r="T63" s="89">
        <v>0</v>
      </c>
      <c r="U63" s="89">
        <v>0</v>
      </c>
      <c r="V63" s="90">
        <v>0</v>
      </c>
      <c r="W63" s="89">
        <v>0</v>
      </c>
      <c r="X63" s="89">
        <v>0</v>
      </c>
      <c r="Y63" s="90">
        <v>0</v>
      </c>
      <c r="Z63" s="89">
        <v>0</v>
      </c>
      <c r="AA63" s="89">
        <v>0</v>
      </c>
      <c r="AB63" s="90">
        <v>0</v>
      </c>
      <c r="AC63" s="91">
        <f>SUM(E63:AB63)</f>
        <v>0</v>
      </c>
      <c r="AD63" s="88">
        <v>0</v>
      </c>
    </row>
    <row r="64" spans="1:30" ht="14.25" customHeight="1" x14ac:dyDescent="0.3">
      <c r="A64" s="15"/>
      <c r="B64" s="95" t="s">
        <v>33</v>
      </c>
      <c r="C64" s="96"/>
      <c r="D64" s="96"/>
      <c r="E64" s="97">
        <f t="shared" ref="E64:AB64" si="23">SUM(E61:E63)</f>
        <v>0</v>
      </c>
      <c r="F64" s="97">
        <f t="shared" si="23"/>
        <v>0</v>
      </c>
      <c r="G64" s="98">
        <f t="shared" si="23"/>
        <v>0</v>
      </c>
      <c r="H64" s="97">
        <f t="shared" si="23"/>
        <v>0</v>
      </c>
      <c r="I64" s="97">
        <f t="shared" si="23"/>
        <v>0</v>
      </c>
      <c r="J64" s="98">
        <f t="shared" si="23"/>
        <v>0</v>
      </c>
      <c r="K64" s="97">
        <f t="shared" si="23"/>
        <v>0</v>
      </c>
      <c r="L64" s="97">
        <f t="shared" si="23"/>
        <v>0</v>
      </c>
      <c r="M64" s="98">
        <f t="shared" si="23"/>
        <v>0</v>
      </c>
      <c r="N64" s="97">
        <f t="shared" si="23"/>
        <v>0</v>
      </c>
      <c r="O64" s="97">
        <f t="shared" si="23"/>
        <v>0</v>
      </c>
      <c r="P64" s="98">
        <f t="shared" si="23"/>
        <v>0</v>
      </c>
      <c r="Q64" s="97">
        <f t="shared" si="23"/>
        <v>0</v>
      </c>
      <c r="R64" s="97">
        <f t="shared" si="23"/>
        <v>0</v>
      </c>
      <c r="S64" s="98">
        <f t="shared" si="23"/>
        <v>0</v>
      </c>
      <c r="T64" s="97">
        <f t="shared" si="23"/>
        <v>0</v>
      </c>
      <c r="U64" s="97">
        <f t="shared" si="23"/>
        <v>0</v>
      </c>
      <c r="V64" s="98">
        <f t="shared" si="23"/>
        <v>0</v>
      </c>
      <c r="W64" s="97">
        <f t="shared" si="23"/>
        <v>0</v>
      </c>
      <c r="X64" s="97">
        <f t="shared" si="23"/>
        <v>0</v>
      </c>
      <c r="Y64" s="98">
        <f t="shared" si="23"/>
        <v>0</v>
      </c>
      <c r="Z64" s="97">
        <f t="shared" si="23"/>
        <v>0</v>
      </c>
      <c r="AA64" s="97">
        <f t="shared" si="23"/>
        <v>0</v>
      </c>
      <c r="AB64" s="98">
        <f t="shared" si="23"/>
        <v>0</v>
      </c>
      <c r="AC64" s="99">
        <f>SUM(E64:AB64)</f>
        <v>0</v>
      </c>
      <c r="AD64" s="81">
        <f>SUM(AD61:AD63)</f>
        <v>0</v>
      </c>
    </row>
    <row r="65" spans="1:34" ht="14.25" customHeight="1" x14ac:dyDescent="0.3">
      <c r="A65" s="15"/>
      <c r="B65" s="65"/>
      <c r="C65" s="101"/>
      <c r="D65" s="101"/>
      <c r="E65" s="102"/>
      <c r="F65" s="102"/>
      <c r="G65" s="103"/>
      <c r="H65" s="102"/>
      <c r="I65" s="102"/>
      <c r="J65" s="103"/>
      <c r="K65" s="102"/>
      <c r="L65" s="102"/>
      <c r="M65" s="103"/>
      <c r="N65" s="102"/>
      <c r="O65" s="102"/>
      <c r="P65" s="103"/>
      <c r="Q65" s="102"/>
      <c r="R65" s="102"/>
      <c r="S65" s="103"/>
      <c r="T65" s="102"/>
      <c r="U65" s="102"/>
      <c r="V65" s="103"/>
      <c r="W65" s="102"/>
      <c r="X65" s="102"/>
      <c r="Y65" s="103"/>
      <c r="Z65" s="102"/>
      <c r="AA65" s="102"/>
      <c r="AB65" s="103"/>
      <c r="AC65" s="104"/>
      <c r="AD65" s="69"/>
    </row>
    <row r="66" spans="1:34" ht="14.25" customHeight="1" x14ac:dyDescent="0.3">
      <c r="A66" s="15"/>
      <c r="B66" s="105" t="s">
        <v>42</v>
      </c>
      <c r="C66" s="106"/>
      <c r="D66" s="106"/>
      <c r="E66" s="107">
        <f t="shared" ref="E66:AB66" si="24">E64+E58+E51+E42+E23</f>
        <v>14340</v>
      </c>
      <c r="F66" s="107">
        <f t="shared" si="24"/>
        <v>14340</v>
      </c>
      <c r="G66" s="107">
        <f t="shared" si="24"/>
        <v>14340</v>
      </c>
      <c r="H66" s="107">
        <f t="shared" si="24"/>
        <v>14340</v>
      </c>
      <c r="I66" s="107">
        <f t="shared" si="24"/>
        <v>14340</v>
      </c>
      <c r="J66" s="107">
        <f t="shared" si="24"/>
        <v>14340</v>
      </c>
      <c r="K66" s="107">
        <f t="shared" si="24"/>
        <v>14340</v>
      </c>
      <c r="L66" s="107">
        <f t="shared" si="24"/>
        <v>14340</v>
      </c>
      <c r="M66" s="107">
        <f t="shared" si="24"/>
        <v>14340</v>
      </c>
      <c r="N66" s="107">
        <f t="shared" si="24"/>
        <v>0</v>
      </c>
      <c r="O66" s="107">
        <f t="shared" si="24"/>
        <v>0</v>
      </c>
      <c r="P66" s="107">
        <f t="shared" si="24"/>
        <v>0</v>
      </c>
      <c r="Q66" s="107">
        <f t="shared" si="24"/>
        <v>0</v>
      </c>
      <c r="R66" s="107">
        <f t="shared" si="24"/>
        <v>0</v>
      </c>
      <c r="S66" s="107">
        <f t="shared" si="24"/>
        <v>0</v>
      </c>
      <c r="T66" s="107">
        <f t="shared" si="24"/>
        <v>0</v>
      </c>
      <c r="U66" s="107">
        <f t="shared" si="24"/>
        <v>0</v>
      </c>
      <c r="V66" s="107">
        <f t="shared" si="24"/>
        <v>0</v>
      </c>
      <c r="W66" s="107">
        <f t="shared" si="24"/>
        <v>0</v>
      </c>
      <c r="X66" s="107">
        <f t="shared" si="24"/>
        <v>0</v>
      </c>
      <c r="Y66" s="107">
        <f t="shared" si="24"/>
        <v>0</v>
      </c>
      <c r="Z66" s="107">
        <f t="shared" si="24"/>
        <v>0</v>
      </c>
      <c r="AA66" s="107">
        <f t="shared" si="24"/>
        <v>0</v>
      </c>
      <c r="AB66" s="107">
        <f t="shared" si="24"/>
        <v>0</v>
      </c>
      <c r="AC66" s="108">
        <f>SUM(E66:AB66)</f>
        <v>129060</v>
      </c>
      <c r="AD66" s="159"/>
      <c r="AG66" t="s">
        <v>43</v>
      </c>
      <c r="AH66">
        <v>487.9</v>
      </c>
    </row>
    <row r="67" spans="1:34" ht="14.25" customHeight="1" x14ac:dyDescent="0.3">
      <c r="A67" s="15"/>
      <c r="B67" s="109" t="s">
        <v>44</v>
      </c>
      <c r="C67" s="110"/>
      <c r="D67" s="110"/>
      <c r="E67" s="111">
        <f t="shared" ref="E67:AB67" si="25">E43+E24</f>
        <v>0</v>
      </c>
      <c r="F67" s="111">
        <f t="shared" si="25"/>
        <v>0</v>
      </c>
      <c r="G67" s="111">
        <f t="shared" si="25"/>
        <v>0</v>
      </c>
      <c r="H67" s="111">
        <f t="shared" si="25"/>
        <v>0</v>
      </c>
      <c r="I67" s="111">
        <f t="shared" si="25"/>
        <v>0</v>
      </c>
      <c r="J67" s="111">
        <f t="shared" si="25"/>
        <v>0</v>
      </c>
      <c r="K67" s="111">
        <f t="shared" si="25"/>
        <v>0</v>
      </c>
      <c r="L67" s="111">
        <f t="shared" si="25"/>
        <v>0</v>
      </c>
      <c r="M67" s="111">
        <f t="shared" si="25"/>
        <v>0</v>
      </c>
      <c r="N67" s="111">
        <f t="shared" si="25"/>
        <v>0</v>
      </c>
      <c r="O67" s="111">
        <f t="shared" si="25"/>
        <v>0</v>
      </c>
      <c r="P67" s="111">
        <f t="shared" si="25"/>
        <v>0</v>
      </c>
      <c r="Q67" s="111">
        <f t="shared" si="25"/>
        <v>0</v>
      </c>
      <c r="R67" s="111">
        <f t="shared" si="25"/>
        <v>0</v>
      </c>
      <c r="S67" s="111">
        <f t="shared" si="25"/>
        <v>0</v>
      </c>
      <c r="T67" s="111">
        <f t="shared" si="25"/>
        <v>0</v>
      </c>
      <c r="U67" s="111">
        <f t="shared" si="25"/>
        <v>0</v>
      </c>
      <c r="V67" s="111">
        <f t="shared" si="25"/>
        <v>0</v>
      </c>
      <c r="W67" s="111">
        <f t="shared" si="25"/>
        <v>0</v>
      </c>
      <c r="X67" s="111">
        <f t="shared" si="25"/>
        <v>0</v>
      </c>
      <c r="Y67" s="111">
        <f t="shared" si="25"/>
        <v>0</v>
      </c>
      <c r="Z67" s="111">
        <f t="shared" si="25"/>
        <v>0</v>
      </c>
      <c r="AA67" s="111">
        <f t="shared" si="25"/>
        <v>0</v>
      </c>
      <c r="AB67" s="111">
        <f t="shared" si="25"/>
        <v>0</v>
      </c>
      <c r="AC67" s="112">
        <f>SUM(E67:AB67)</f>
        <v>0</v>
      </c>
      <c r="AD67" s="159"/>
    </row>
    <row r="68" spans="1:34" ht="14.25" customHeight="1" x14ac:dyDescent="0.3">
      <c r="A68" s="15"/>
      <c r="B68" s="109" t="s">
        <v>45</v>
      </c>
      <c r="C68" s="110"/>
      <c r="D68" s="110"/>
      <c r="E68" s="111">
        <f t="shared" ref="E68:AB68" si="26">E66+E67</f>
        <v>14340</v>
      </c>
      <c r="F68" s="111">
        <f t="shared" si="26"/>
        <v>14340</v>
      </c>
      <c r="G68" s="111">
        <f t="shared" si="26"/>
        <v>14340</v>
      </c>
      <c r="H68" s="111">
        <f t="shared" si="26"/>
        <v>14340</v>
      </c>
      <c r="I68" s="111">
        <f t="shared" si="26"/>
        <v>14340</v>
      </c>
      <c r="J68" s="111">
        <f t="shared" si="26"/>
        <v>14340</v>
      </c>
      <c r="K68" s="111">
        <f t="shared" si="26"/>
        <v>14340</v>
      </c>
      <c r="L68" s="111">
        <f t="shared" si="26"/>
        <v>14340</v>
      </c>
      <c r="M68" s="111">
        <f t="shared" si="26"/>
        <v>14340</v>
      </c>
      <c r="N68" s="111">
        <f t="shared" si="26"/>
        <v>0</v>
      </c>
      <c r="O68" s="111">
        <f t="shared" si="26"/>
        <v>0</v>
      </c>
      <c r="P68" s="111">
        <f t="shared" si="26"/>
        <v>0</v>
      </c>
      <c r="Q68" s="111">
        <f t="shared" si="26"/>
        <v>0</v>
      </c>
      <c r="R68" s="111">
        <f t="shared" si="26"/>
        <v>0</v>
      </c>
      <c r="S68" s="111">
        <f t="shared" si="26"/>
        <v>0</v>
      </c>
      <c r="T68" s="111">
        <f t="shared" si="26"/>
        <v>0</v>
      </c>
      <c r="U68" s="111">
        <f t="shared" si="26"/>
        <v>0</v>
      </c>
      <c r="V68" s="111">
        <f t="shared" si="26"/>
        <v>0</v>
      </c>
      <c r="W68" s="111">
        <f t="shared" si="26"/>
        <v>0</v>
      </c>
      <c r="X68" s="111">
        <f t="shared" si="26"/>
        <v>0</v>
      </c>
      <c r="Y68" s="111">
        <f t="shared" si="26"/>
        <v>0</v>
      </c>
      <c r="Z68" s="111">
        <f t="shared" si="26"/>
        <v>0</v>
      </c>
      <c r="AA68" s="111">
        <f t="shared" si="26"/>
        <v>0</v>
      </c>
      <c r="AB68" s="111">
        <f t="shared" si="26"/>
        <v>0</v>
      </c>
      <c r="AC68" s="113">
        <f>SUM(E68:AB68)</f>
        <v>129060</v>
      </c>
      <c r="AD68" s="159"/>
    </row>
    <row r="69" spans="1:34" ht="14.25" customHeight="1" x14ac:dyDescent="0.3">
      <c r="A69" s="15"/>
      <c r="B69" s="114" t="s">
        <v>46</v>
      </c>
      <c r="C69" s="115"/>
      <c r="D69" s="115"/>
      <c r="E69" s="116">
        <f>E68</f>
        <v>14340</v>
      </c>
      <c r="F69" s="116">
        <f t="shared" ref="F69:AB69" si="27">E69+F68</f>
        <v>28680</v>
      </c>
      <c r="G69" s="116">
        <f t="shared" si="27"/>
        <v>43020</v>
      </c>
      <c r="H69" s="116">
        <f t="shared" si="27"/>
        <v>57360</v>
      </c>
      <c r="I69" s="116">
        <f t="shared" si="27"/>
        <v>71700</v>
      </c>
      <c r="J69" s="116">
        <f t="shared" si="27"/>
        <v>86040</v>
      </c>
      <c r="K69" s="116">
        <f t="shared" si="27"/>
        <v>100380</v>
      </c>
      <c r="L69" s="116">
        <f t="shared" si="27"/>
        <v>114720</v>
      </c>
      <c r="M69" s="116">
        <f t="shared" si="27"/>
        <v>129060</v>
      </c>
      <c r="N69" s="116">
        <f t="shared" si="27"/>
        <v>129060</v>
      </c>
      <c r="O69" s="116">
        <f t="shared" si="27"/>
        <v>129060</v>
      </c>
      <c r="P69" s="116">
        <f t="shared" si="27"/>
        <v>129060</v>
      </c>
      <c r="Q69" s="116">
        <f t="shared" si="27"/>
        <v>129060</v>
      </c>
      <c r="R69" s="116">
        <f t="shared" si="27"/>
        <v>129060</v>
      </c>
      <c r="S69" s="116">
        <f t="shared" si="27"/>
        <v>129060</v>
      </c>
      <c r="T69" s="116">
        <f t="shared" si="27"/>
        <v>129060</v>
      </c>
      <c r="U69" s="116">
        <f t="shared" si="27"/>
        <v>129060</v>
      </c>
      <c r="V69" s="116">
        <f t="shared" si="27"/>
        <v>129060</v>
      </c>
      <c r="W69" s="116">
        <f t="shared" si="27"/>
        <v>129060</v>
      </c>
      <c r="X69" s="116">
        <f t="shared" si="27"/>
        <v>129060</v>
      </c>
      <c r="Y69" s="116">
        <f t="shared" si="27"/>
        <v>129060</v>
      </c>
      <c r="Z69" s="116">
        <f t="shared" si="27"/>
        <v>129060</v>
      </c>
      <c r="AA69" s="116">
        <f t="shared" si="27"/>
        <v>129060</v>
      </c>
      <c r="AB69" s="116">
        <f t="shared" si="27"/>
        <v>129060</v>
      </c>
      <c r="AC69" s="117"/>
      <c r="AD69" s="159"/>
    </row>
    <row r="70" spans="1:34" ht="14.25" customHeight="1" x14ac:dyDescent="0.3">
      <c r="A70" s="15"/>
      <c r="B70" s="65"/>
      <c r="C70" s="118"/>
      <c r="D70" s="118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8"/>
      <c r="AD70" s="69"/>
    </row>
    <row r="71" spans="1:34" ht="14.25" customHeight="1" x14ac:dyDescent="0.3">
      <c r="A71" s="15"/>
      <c r="B71" s="119" t="s">
        <v>47</v>
      </c>
      <c r="C71" s="120"/>
      <c r="D71" s="12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29"/>
      <c r="AF71">
        <f>1200*5</f>
        <v>6000</v>
      </c>
    </row>
    <row r="72" spans="1:34" ht="14.25" customHeight="1" x14ac:dyDescent="0.3">
      <c r="A72" s="15"/>
      <c r="B72" s="121" t="s">
        <v>48</v>
      </c>
      <c r="C72" s="122" t="s">
        <v>49</v>
      </c>
      <c r="D72" s="123">
        <f>AH66*9</f>
        <v>4391.0999999999995</v>
      </c>
      <c r="E72" s="161">
        <f>D72-E73</f>
        <v>4391.0999999999995</v>
      </c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2">
        <f>E72</f>
        <v>4391.0999999999995</v>
      </c>
    </row>
    <row r="73" spans="1:34" ht="14.25" customHeight="1" x14ac:dyDescent="0.3">
      <c r="A73" s="15"/>
      <c r="B73" s="163" t="s">
        <v>50</v>
      </c>
      <c r="C73" s="163"/>
      <c r="D73" s="124">
        <v>0</v>
      </c>
      <c r="E73" s="164">
        <f>D72*D73</f>
        <v>0</v>
      </c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2"/>
      <c r="AF73" s="125">
        <f>AC25-101520</f>
        <v>5940</v>
      </c>
    </row>
    <row r="74" spans="1:34" ht="15" customHeight="1" x14ac:dyDescent="0.3">
      <c r="A74" s="24"/>
      <c r="B74" s="30" t="s">
        <v>51</v>
      </c>
      <c r="C74" s="126" t="s">
        <v>52</v>
      </c>
      <c r="D74" s="127">
        <v>2032.25</v>
      </c>
      <c r="E74" s="165">
        <f>D74</f>
        <v>2032.25</v>
      </c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0" t="s">
        <v>53</v>
      </c>
    </row>
    <row r="75" spans="1:34" ht="15" x14ac:dyDescent="0.3">
      <c r="A75" s="24"/>
      <c r="B75" s="128" t="s">
        <v>54</v>
      </c>
      <c r="C75" s="129"/>
      <c r="D75" s="129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30">
        <f>D72+D74</f>
        <v>6423.3499999999995</v>
      </c>
      <c r="AD75" s="10"/>
    </row>
    <row r="76" spans="1:34" ht="19.5" customHeight="1" x14ac:dyDescent="0.3">
      <c r="A76" s="131"/>
      <c r="B76" s="167" t="s">
        <v>55</v>
      </c>
      <c r="C76" s="167"/>
      <c r="D76" s="132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33">
        <f>AC75+AC68</f>
        <v>135483.35</v>
      </c>
      <c r="AD76" s="134">
        <f>AD72+AD64+AD58+AD51+AD44+AD25</f>
        <v>133451.1</v>
      </c>
    </row>
    <row r="77" spans="1:34" ht="15" customHeight="1" x14ac:dyDescent="0.3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</row>
    <row r="78" spans="1:34" ht="14.25" customHeigh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34" ht="14.25" customHeight="1" x14ac:dyDescent="0.3">
      <c r="A79" s="15"/>
      <c r="B79" s="169" t="s">
        <v>56</v>
      </c>
      <c r="C79" s="169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34" ht="13.5" customHeight="1" x14ac:dyDescent="0.3">
      <c r="A80" s="15"/>
      <c r="B80" s="135" t="s">
        <v>57</v>
      </c>
      <c r="C80" s="136" t="s">
        <v>58</v>
      </c>
      <c r="D80" s="13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4.25" customHeight="1" x14ac:dyDescent="0.3">
      <c r="A81" s="15"/>
      <c r="B81" s="135" t="s">
        <v>59</v>
      </c>
      <c r="C81" s="138" t="s">
        <v>60</v>
      </c>
      <c r="D81" s="139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4.25" customHeight="1" x14ac:dyDescent="0.3">
      <c r="A82" s="15"/>
      <c r="B82" s="135" t="s">
        <v>61</v>
      </c>
      <c r="C82" s="138"/>
      <c r="D82" s="139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4.25" customHeight="1" x14ac:dyDescent="0.3">
      <c r="A83" s="15"/>
      <c r="B83" s="135"/>
      <c r="C83" s="135"/>
      <c r="D83" s="13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4.25" customHeight="1" x14ac:dyDescent="0.3">
      <c r="A84" s="15"/>
      <c r="B84" s="170" t="s">
        <v>62</v>
      </c>
      <c r="C84" s="17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22.5" customHeight="1" x14ac:dyDescent="0.3">
      <c r="A85" s="15"/>
      <c r="B85" s="171" t="s">
        <v>63</v>
      </c>
      <c r="C85" s="171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6.75" customHeight="1" x14ac:dyDescent="0.3">
      <c r="A86" s="15"/>
      <c r="B86" s="140"/>
      <c r="C86" s="140"/>
      <c r="D86" s="140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4.25" customHeight="1" x14ac:dyDescent="0.3">
      <c r="A87" s="15"/>
      <c r="B87" s="172" t="s">
        <v>64</v>
      </c>
      <c r="C87" s="172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4.25" customHeight="1" x14ac:dyDescent="0.3">
      <c r="A88" s="15"/>
      <c r="B88" s="173" t="s">
        <v>65</v>
      </c>
      <c r="C88" s="173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" customHeight="1" x14ac:dyDescent="0.3">
      <c r="A89" s="15"/>
      <c r="B89" s="173"/>
      <c r="C89" s="173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6" customHeight="1" x14ac:dyDescent="0.3">
      <c r="A90" s="15"/>
      <c r="B90" s="141"/>
      <c r="C90" s="141"/>
      <c r="D90" s="141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5" customHeight="1" x14ac:dyDescent="0.3">
      <c r="A91" s="15"/>
      <c r="B91" s="170" t="s">
        <v>66</v>
      </c>
      <c r="C91" s="170"/>
      <c r="E91" s="24"/>
      <c r="F91" s="2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4.25" customHeight="1" x14ac:dyDescent="0.3">
      <c r="A92" s="15"/>
      <c r="B92" s="173" t="s">
        <v>67</v>
      </c>
      <c r="C92" s="173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35.25" customHeight="1" x14ac:dyDescent="0.3">
      <c r="A93" s="15"/>
      <c r="B93" s="173"/>
      <c r="C93" s="173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4.25" customHeight="1" x14ac:dyDescent="0.3">
      <c r="A94" s="15"/>
      <c r="B94" s="135"/>
      <c r="C94" s="135"/>
      <c r="D94" s="13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4.25" customHeight="1" x14ac:dyDescent="0.3">
      <c r="A95" s="15"/>
      <c r="B95" s="143"/>
      <c r="C95" s="135"/>
      <c r="D95" s="13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4.25" customHeight="1" x14ac:dyDescent="0.3">
      <c r="A96" s="15"/>
      <c r="B96" s="14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4.25" customHeight="1" x14ac:dyDescent="0.3">
      <c r="A97" s="15"/>
      <c r="B97" s="14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4.25" customHeight="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4.25" customHeight="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4.25" customHeight="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4.25" customHeigh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4.25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4.25" customHeigh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4.25" customHeigh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4.25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4.25" customHeigh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4.2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4.2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4.2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4.2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4.2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4.2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4.2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4.2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4.2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4.2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4.2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4.2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4.2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4.2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4.2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4.2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4.2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4.2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4.2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4.2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4.2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4.2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4.2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4.2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4.2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4.2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4.2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4.2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4.2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4.2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4.2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4.2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4.2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4.2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4.2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4.2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4.2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4.2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4.2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4.2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4.2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4.2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4.2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4.2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4.2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4.2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4.2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4.2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4.2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4.2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4.2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4.2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4.2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4.2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4.2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4.2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4.2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4.2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4.2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4.2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4.2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4.2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4.2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4.2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4.2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4.2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4.2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4.2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4.2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4.2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4.2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4.2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4.2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4.2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4.2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4.2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4.2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4.2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4.2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4.2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4.2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4.2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4.2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4.2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4.2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4.2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4.2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4.2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4.2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4.2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4.2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4.2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4.2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4.2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4.2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4.2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4.2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4.2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4.2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4.2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4.2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4.2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4.2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4.2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4.2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4.2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4.2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4.2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4.2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4.2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4.2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4.2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4.2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4.2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4.2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4.2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4.2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4.2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4.2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4.2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4.2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4.2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4.2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4.2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4.2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4.2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4.2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4.2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4.2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4.2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4.2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4.2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4.2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4.2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4.2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4.2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4.2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4.2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4.2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4.2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4.2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4.2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4.2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4.2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4.2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4.2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4.2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4.2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4.2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4.2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4.2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4.2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4.2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4.2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4.2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4.2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4.2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4.2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4.2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4.2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4.2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4.2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4.2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4.2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4.2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4.2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4.2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4.2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4.2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4.2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4.2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4.2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4.2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4.2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4.2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4.2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4.2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4.2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4.2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4.2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4.2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4.2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4.2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4.2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4.2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4.2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4.2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4.2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4.2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4.2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4.2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4.2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4.2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4.2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4.2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4.2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4.2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4.2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4.2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4.2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4.2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4.2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4.2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4.2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4.2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4.2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4.2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4.2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4.2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4.2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4.2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4.2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4.2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4.2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4.2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4.2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4.2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4.2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4.2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4.2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4.2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4.2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4.2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4.2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4.2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4.2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4.2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4.2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4.2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4.2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4.2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4.2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4.2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4.2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4.2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4.2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4.2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4.2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4.2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4.2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4.2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4.2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4.2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4.2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4.2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4.2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4.2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4.2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4.2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4.2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4.2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4.2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4.2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4.2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4.2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4.2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4.2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4.2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4.2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4.2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4.2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4.2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4.2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4.2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4.2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4.2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4.2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4.2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4.2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4.2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4.2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4.2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4.2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4.2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4.2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4.2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4.2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4.2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4.2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4.2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4.2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4.2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4.2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4.2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4.2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4.2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4.2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4.2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4.2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4.2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4.2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4.2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4.2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4.2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4.2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4.2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4.2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4.2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4.2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4.2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4.2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4.2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4.2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4.2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4.2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4.2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4.2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4.2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4.2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4.2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4.2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4.2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4.2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4.2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4.2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4.2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4.2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4.2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4.2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4.2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4.2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4.2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4.2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4.2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4.2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4.2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4.2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4.2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4.2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4.2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4.2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4.2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4.2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4.2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4.2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4.2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4.2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4.2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4.2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4.2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4.2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4.2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4.2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4.2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4.2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4.2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4.2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4.2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4.2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4.2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4.2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4.2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4.2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4.2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4.2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4.2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4.2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4.2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4.2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4.2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4.2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4.2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4.2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4.2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4.2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4.2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4.2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4.2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4.2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4.2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4.2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4.2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4.2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4.2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4.2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4.2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4.2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4.2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4.2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4.2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4.2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4.2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4.2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4.2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4.2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4.2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4.2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4.2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4.2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4.2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4.2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4.2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4.2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4.2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4.2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4.2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4.2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4.2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4.2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4.2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4.2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4.2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4.2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4.2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4.2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4.2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4.2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4.2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4.2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4.2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4.2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4.2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4.2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4.2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4.2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4.2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4.2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4.2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4.2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4.2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4.2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4.2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4.2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4.2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4.2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4.2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4.2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4.2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4.2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4.2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4.2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4.2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4.2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4.2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4.2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4.2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4.2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4.2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4.2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4.2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4.2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4.2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4.2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4.2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4.2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4.2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4.2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4.2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4.2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4.2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4.2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4.2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4.2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4.2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4.2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4.2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4.2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4.2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4.2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4.2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4.2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4.2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4.2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4.2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4.2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4.2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4.2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4.2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4.2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4.2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4.2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4.2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4.2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4.2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4.2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4.2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4.2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4.2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4.2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4.2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4.2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4.2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4.2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4.2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4.2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4.2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4.2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4.2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4.2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4.2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4.2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4.2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4.2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4.2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4.2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4.2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4.2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4.2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4.2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4.2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4.2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4.2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4.2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4.2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4.2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4.2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4.2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4.2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4.2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4.2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4.2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4.2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4.2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4.2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4.2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4.2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4.2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4.2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4.2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4.2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4.2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4.2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4.2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4.2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4.2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4.2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4.2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4.2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4.2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4.2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4.2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4.2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4.2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4.2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4.2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4.2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4.2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4.2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4.2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4.2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4.2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4.2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4.2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4.2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4.2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4.2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4.2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4.2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4.2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4.2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4.2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4.2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4.2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4.2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4.2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4.2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4.2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4.2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4.2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4.2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4.2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4.2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4.2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4.2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4.2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4.2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4.2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4.2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4.2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4.2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4.2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4.2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4.2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4.2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4.2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4.2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4.2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4.2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4.2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4.2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4.2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4.2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4.2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4.2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4.2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4.2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4.2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4.2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4.2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4.2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4.2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4.2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4.2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4.2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4.2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4.2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4.2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4.2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4.2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4.2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4.2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4.2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4.2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4.2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4.2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4.2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4.2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4.2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4.2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4.2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4.2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4.2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4.2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4.2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4.2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4.2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4.2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4.2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4.2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4.2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4.2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4.2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4.2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4.2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4.2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4.2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4.2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4.2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4.2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4.2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4.2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4.2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4.2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4.2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4.2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4.2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4.2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4.2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4.2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4.2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4.2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4.2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4.2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4.2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4.2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4.2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4.2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4.2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4.2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4.2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4.2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4.2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4.2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4.2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4.2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4.2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4.2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4.2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4.2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4.2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4.2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4.2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4.2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4.2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4.2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4.2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4.2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4.2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4.2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4.2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4.2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4.2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4.2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4.2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4.2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4.2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4.2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4.2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4.2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4.2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4.2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4.2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4.2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4.2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4.2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4.2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4.2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4.2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4.2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4.2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4.2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4.2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4.2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4.2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4.2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4.2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4.2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4.2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4.2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4.2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4.2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4.2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4.2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4.2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4.2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4.2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4.2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4.2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4.2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4.2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4.2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4.2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4.2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4.2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4.2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4.2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4.2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4.2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4.2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4.2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4.2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4.2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4.2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4.2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4.2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4.2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4.2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4.2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4.2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4.2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4.2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4.2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4.2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4.2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4.2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4.2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4.2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4.2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4.2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4.2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4.2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4.2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4.2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4.2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4.2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4.2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4.2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4.2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4.2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4.2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4.2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4.2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4.2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4.2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4.2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4.2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4.2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4.2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4.2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4.2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4.2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4.2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4.2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4.2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4.2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4.2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4.2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4.2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4.2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4.2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4.2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4.2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4.2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4.2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4.2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4.2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4.2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4.2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4.2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4.2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4.2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4.2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4.2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4.2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4.2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4.2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4.2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4.2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4.2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4.2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4.2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4.2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4.2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4.2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4.2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4.2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4.2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4.2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4.2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4.2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4.2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4.2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4.2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4.2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4.2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4.2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4.2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4.2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4.2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4.2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4.2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4.2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4.2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4.2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4.2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4.2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4.2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4.2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4.2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4.2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4.2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4.2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4.2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4.2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4.2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4.2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4.2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4.2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4.2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4.2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4.2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4.2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4.2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4.2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4.2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4.2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4.2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4.2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4.2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4.2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4.2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4.2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4.2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4.2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4.2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4.2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4.2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4.2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4.2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4.2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4.2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4.2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4.2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4.2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4.2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4.2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4.2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4.2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4.2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4.2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4.2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4.2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4.2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4.2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4.2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4.2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4.2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4.2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4.2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4.2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4.2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4.2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4.2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4.2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4.2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4.2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4.2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4.2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4.2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4.2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4.2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4.2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4.2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4.2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4.2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4.2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4.2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4.2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4.2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4.2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4.2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4.2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4.2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4.2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4.25" customHeight="1" x14ac:dyDescent="0.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4.25" customHeight="1" x14ac:dyDescent="0.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4.25" customHeight="1" x14ac:dyDescent="0.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4.25" customHeight="1" x14ac:dyDescent="0.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spans="1:29" ht="14.25" customHeight="1" x14ac:dyDescent="0.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spans="1:29" ht="14.25" customHeight="1" x14ac:dyDescent="0.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spans="1:29" ht="14.25" customHeight="1" x14ac:dyDescent="0.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spans="1:29" ht="14.25" customHeight="1" x14ac:dyDescent="0.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spans="1:29" ht="14.25" customHeight="1" x14ac:dyDescent="0.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spans="1:29" ht="14.25" customHeight="1" x14ac:dyDescent="0.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spans="1:29" ht="14.25" customHeight="1" x14ac:dyDescent="0.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spans="1:29" ht="14.25" customHeight="1" x14ac:dyDescent="0.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spans="1:29" ht="14.25" customHeight="1" x14ac:dyDescent="0.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spans="1:29" ht="14.25" customHeight="1" x14ac:dyDescent="0.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spans="1:29" ht="14.25" customHeight="1" x14ac:dyDescent="0.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spans="1:29" ht="14.25" customHeight="1" x14ac:dyDescent="0.3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spans="1:29" ht="14.25" customHeight="1" x14ac:dyDescent="0.3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spans="1:29" ht="14.25" customHeight="1" x14ac:dyDescent="0.3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spans="1:29" ht="14.25" customHeight="1" x14ac:dyDescent="0.3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spans="1:29" ht="14.25" customHeight="1" x14ac:dyDescent="0.3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spans="1:29" ht="14.25" customHeight="1" x14ac:dyDescent="0.3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spans="1:29" ht="14.25" customHeight="1" x14ac:dyDescent="0.3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spans="1:29" ht="14.25" customHeight="1" x14ac:dyDescent="0.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spans="1:29" ht="14.25" customHeight="1" x14ac:dyDescent="0.3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spans="1:29" ht="14.25" customHeight="1" x14ac:dyDescent="0.3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spans="1:29" ht="14.25" customHeight="1" x14ac:dyDescent="0.3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spans="1:29" ht="14.25" customHeight="1" x14ac:dyDescent="0.3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spans="1:29" ht="14.25" customHeight="1" x14ac:dyDescent="0.3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spans="1:29" ht="14.25" customHeight="1" x14ac:dyDescent="0.3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spans="1:29" ht="14.25" customHeight="1" x14ac:dyDescent="0.3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spans="1:29" ht="14.25" customHeight="1" x14ac:dyDescent="0.3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spans="1:29" ht="14.25" customHeight="1" x14ac:dyDescent="0.3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spans="1:29" ht="14.25" customHeight="1" x14ac:dyDescent="0.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spans="1:29" ht="14.25" customHeight="1" x14ac:dyDescent="0.3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spans="1:29" ht="14.25" customHeight="1" x14ac:dyDescent="0.3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</sheetData>
  <mergeCells count="59">
    <mergeCell ref="B91:C91"/>
    <mergeCell ref="B92:C93"/>
    <mergeCell ref="B79:C79"/>
    <mergeCell ref="B84:C84"/>
    <mergeCell ref="B85:C85"/>
    <mergeCell ref="B87:C87"/>
    <mergeCell ref="B88:C89"/>
    <mergeCell ref="E74:AC74"/>
    <mergeCell ref="AD74:AD75"/>
    <mergeCell ref="E75:AB75"/>
    <mergeCell ref="B76:C76"/>
    <mergeCell ref="E76:AB76"/>
    <mergeCell ref="AD66:AD69"/>
    <mergeCell ref="E71:AC71"/>
    <mergeCell ref="E72:AC72"/>
    <mergeCell ref="AD72:AD73"/>
    <mergeCell ref="B73:C73"/>
    <mergeCell ref="E73:AC73"/>
    <mergeCell ref="B60:D60"/>
    <mergeCell ref="E60:AB60"/>
    <mergeCell ref="B61:D61"/>
    <mergeCell ref="B62:D62"/>
    <mergeCell ref="B63:D63"/>
    <mergeCell ref="E53:AB53"/>
    <mergeCell ref="B54:D54"/>
    <mergeCell ref="B55:D55"/>
    <mergeCell ref="B56:D56"/>
    <mergeCell ref="B57:D57"/>
    <mergeCell ref="B47:D47"/>
    <mergeCell ref="B48:D48"/>
    <mergeCell ref="B49:D49"/>
    <mergeCell ref="B50:D50"/>
    <mergeCell ref="B53:D53"/>
    <mergeCell ref="AD36:AD37"/>
    <mergeCell ref="AD38:AD39"/>
    <mergeCell ref="AD40:AD41"/>
    <mergeCell ref="AD42:AD43"/>
    <mergeCell ref="E46:AB46"/>
    <mergeCell ref="E27:AB27"/>
    <mergeCell ref="AD28:AD29"/>
    <mergeCell ref="AD30:AD31"/>
    <mergeCell ref="AD32:AD33"/>
    <mergeCell ref="AD34:AD35"/>
    <mergeCell ref="AD15:AD16"/>
    <mergeCell ref="AD17:AD18"/>
    <mergeCell ref="AD19:AD20"/>
    <mergeCell ref="AD21:AD22"/>
    <mergeCell ref="AD23:AD24"/>
    <mergeCell ref="E6:AB6"/>
    <mergeCell ref="AD7:AD8"/>
    <mergeCell ref="AD9:AD10"/>
    <mergeCell ref="AD11:AD12"/>
    <mergeCell ref="AD13:AD14"/>
    <mergeCell ref="E2:AC2"/>
    <mergeCell ref="B3:B4"/>
    <mergeCell ref="C3:D4"/>
    <mergeCell ref="AC4:AC5"/>
    <mergeCell ref="AD4:AD5"/>
    <mergeCell ref="E5:AB5"/>
  </mergeCells>
  <pageMargins left="0.7" right="0.7" top="0.563194444444444" bottom="0.44930555555555601" header="0.3" footer="0.3"/>
  <pageSetup paperSize="9" scale="52" orientation="landscape" horizontalDpi="300" verticalDpi="300"/>
  <headerFooter>
    <oddHeader>&amp;L[Projekttitel]_x005F_x000a_&amp;C[Unternehmen]_x005F_x000a_&amp;R&amp;D</oddHeader>
    <oddFooter>&amp;R&amp;P von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38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41" sqref="A41"/>
      <selection pane="bottomRight" activeCell="T43" sqref="T43"/>
    </sheetView>
  </sheetViews>
  <sheetFormatPr baseColWidth="10" defaultColWidth="14.42578125" defaultRowHeight="12.75" x14ac:dyDescent="0.2"/>
  <cols>
    <col min="1" max="1" width="0.85546875" customWidth="1"/>
    <col min="2" max="2" width="21" customWidth="1"/>
    <col min="3" max="3" width="9.85546875" customWidth="1"/>
    <col min="4" max="4" width="11.85546875" customWidth="1"/>
    <col min="5" max="28" width="7.85546875" customWidth="1"/>
    <col min="29" max="30" width="11.42578125" customWidth="1"/>
  </cols>
  <sheetData>
    <row r="1" spans="1:32" ht="15" customHeight="1" x14ac:dyDescent="0.3">
      <c r="A1" s="15"/>
      <c r="B1" s="174" t="s">
        <v>68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</row>
    <row r="2" spans="1:32" ht="14.25" customHeight="1" x14ac:dyDescent="0.3">
      <c r="A2" s="15"/>
      <c r="B2" s="13"/>
      <c r="C2" s="12" t="s">
        <v>1</v>
      </c>
      <c r="D2" s="12"/>
      <c r="E2" s="17">
        <v>1</v>
      </c>
      <c r="F2" s="17">
        <v>2</v>
      </c>
      <c r="G2" s="18">
        <v>3</v>
      </c>
      <c r="H2" s="17">
        <v>4</v>
      </c>
      <c r="I2" s="17">
        <v>5</v>
      </c>
      <c r="J2" s="18">
        <v>6</v>
      </c>
      <c r="K2" s="17">
        <v>7</v>
      </c>
      <c r="L2" s="17">
        <v>8</v>
      </c>
      <c r="M2" s="18">
        <v>9</v>
      </c>
      <c r="N2" s="17">
        <v>10</v>
      </c>
      <c r="O2" s="17">
        <v>11</v>
      </c>
      <c r="P2" s="18">
        <v>12</v>
      </c>
      <c r="Q2" s="17">
        <v>13</v>
      </c>
      <c r="R2" s="17">
        <v>14</v>
      </c>
      <c r="S2" s="18">
        <v>15</v>
      </c>
      <c r="T2" s="17">
        <v>16</v>
      </c>
      <c r="U2" s="17">
        <v>17</v>
      </c>
      <c r="V2" s="18">
        <v>18</v>
      </c>
      <c r="W2" s="17">
        <v>19</v>
      </c>
      <c r="X2" s="17">
        <v>20</v>
      </c>
      <c r="Y2" s="18">
        <v>21</v>
      </c>
      <c r="Z2" s="17">
        <v>22</v>
      </c>
      <c r="AA2" s="17">
        <v>23</v>
      </c>
      <c r="AB2" s="18">
        <v>24</v>
      </c>
      <c r="AC2" s="17"/>
      <c r="AD2" s="19"/>
    </row>
    <row r="3" spans="1:32" ht="14.25" customHeight="1" x14ac:dyDescent="0.3">
      <c r="A3" s="15"/>
      <c r="B3" s="13"/>
      <c r="C3" s="12"/>
      <c r="D3" s="12"/>
      <c r="E3" s="144">
        <v>45689</v>
      </c>
      <c r="F3" s="144">
        <v>45717</v>
      </c>
      <c r="G3" s="145">
        <v>45748</v>
      </c>
      <c r="H3" s="144">
        <v>45778</v>
      </c>
      <c r="I3" s="144">
        <v>45809</v>
      </c>
      <c r="J3" s="145">
        <v>45839</v>
      </c>
      <c r="K3" s="144">
        <v>45870</v>
      </c>
      <c r="L3" s="144">
        <v>45901</v>
      </c>
      <c r="M3" s="145">
        <v>45931</v>
      </c>
      <c r="N3" s="144">
        <v>45962</v>
      </c>
      <c r="O3" s="144">
        <v>45992</v>
      </c>
      <c r="P3" s="145">
        <v>46023</v>
      </c>
      <c r="Q3" s="144">
        <v>46054</v>
      </c>
      <c r="R3" s="144">
        <v>46082</v>
      </c>
      <c r="S3" s="145">
        <v>46113</v>
      </c>
      <c r="T3" s="144">
        <v>46143</v>
      </c>
      <c r="U3" s="144">
        <v>46174</v>
      </c>
      <c r="V3" s="145">
        <v>46204</v>
      </c>
      <c r="W3" s="144">
        <v>46235</v>
      </c>
      <c r="X3" s="21"/>
      <c r="Y3" s="22"/>
      <c r="Z3" s="21"/>
      <c r="AA3" s="21"/>
      <c r="AB3" s="22"/>
      <c r="AC3" s="11" t="s">
        <v>3</v>
      </c>
      <c r="AD3" s="10" t="s">
        <v>4</v>
      </c>
    </row>
    <row r="4" spans="1:32" ht="15" customHeight="1" x14ac:dyDescent="0.3">
      <c r="A4" s="15"/>
      <c r="B4" s="23" t="s">
        <v>5</v>
      </c>
      <c r="C4" s="24"/>
      <c r="D4" s="2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1"/>
      <c r="AD4" s="10"/>
    </row>
    <row r="5" spans="1:32" ht="14.25" customHeight="1" x14ac:dyDescent="0.3">
      <c r="A5" s="15"/>
      <c r="B5" s="25" t="s">
        <v>6</v>
      </c>
      <c r="C5" s="26"/>
      <c r="D5" s="27" t="s">
        <v>69</v>
      </c>
      <c r="E5" s="8" t="s">
        <v>28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28"/>
      <c r="AD5" s="29"/>
    </row>
    <row r="6" spans="1:32" ht="14.25" customHeight="1" x14ac:dyDescent="0.3">
      <c r="A6" s="15"/>
      <c r="B6" s="182" t="s">
        <v>73</v>
      </c>
      <c r="C6" s="183"/>
      <c r="D6" s="184"/>
      <c r="E6" s="188">
        <v>1</v>
      </c>
      <c r="F6" s="188">
        <v>1</v>
      </c>
      <c r="G6" s="188">
        <v>1</v>
      </c>
      <c r="H6" s="188">
        <v>1</v>
      </c>
      <c r="I6" s="188">
        <v>0.90480000000000005</v>
      </c>
      <c r="J6" s="188">
        <v>0.91300000000000003</v>
      </c>
      <c r="K6" s="188">
        <v>0.88100000000000001</v>
      </c>
      <c r="L6" s="188">
        <v>0.40339999999999998</v>
      </c>
      <c r="M6" s="188">
        <v>0.35870000000000002</v>
      </c>
      <c r="N6" s="188">
        <v>0.17499999999999999</v>
      </c>
      <c r="O6" s="188">
        <v>0.35870000000000002</v>
      </c>
      <c r="P6" s="188">
        <v>0.4773</v>
      </c>
      <c r="Q6" s="188">
        <v>0.45</v>
      </c>
      <c r="R6" s="188">
        <v>0.69889999999999997</v>
      </c>
      <c r="S6" s="188">
        <v>0.78410000000000002</v>
      </c>
      <c r="T6" s="188">
        <v>1</v>
      </c>
      <c r="U6" s="188">
        <v>1</v>
      </c>
      <c r="V6" s="188">
        <v>0.95650000000000002</v>
      </c>
      <c r="W6" s="188">
        <v>0.88100000000000001</v>
      </c>
      <c r="X6" s="188"/>
      <c r="Y6" s="188"/>
      <c r="Z6" s="188"/>
      <c r="AA6" s="188"/>
      <c r="AB6" s="188"/>
      <c r="AC6" s="185"/>
      <c r="AD6" s="69"/>
    </row>
    <row r="7" spans="1:32" ht="14.25" customHeight="1" x14ac:dyDescent="0.3">
      <c r="A7" s="15"/>
      <c r="B7" s="182" t="s">
        <v>77</v>
      </c>
      <c r="C7" s="183"/>
      <c r="D7" s="184"/>
      <c r="E7" s="186">
        <v>6000</v>
      </c>
      <c r="F7" s="186">
        <v>6000</v>
      </c>
      <c r="G7" s="186">
        <v>6000</v>
      </c>
      <c r="H7" s="186">
        <v>500</v>
      </c>
      <c r="I7" s="186">
        <v>500</v>
      </c>
      <c r="J7" s="186">
        <v>500</v>
      </c>
      <c r="K7" s="186">
        <v>500</v>
      </c>
      <c r="L7" s="186">
        <v>500</v>
      </c>
      <c r="M7" s="186">
        <v>7500</v>
      </c>
      <c r="N7" s="186">
        <v>7500</v>
      </c>
      <c r="O7" s="186">
        <v>7500</v>
      </c>
      <c r="P7" s="186">
        <v>7500</v>
      </c>
      <c r="Q7" s="186">
        <v>7500</v>
      </c>
      <c r="R7" s="186">
        <v>7500</v>
      </c>
      <c r="S7" s="186">
        <v>7500</v>
      </c>
      <c r="T7" s="186">
        <v>4000</v>
      </c>
      <c r="U7" s="186">
        <v>4000</v>
      </c>
      <c r="V7" s="186">
        <v>4000</v>
      </c>
      <c r="W7" s="186">
        <v>4000</v>
      </c>
      <c r="X7" s="188"/>
      <c r="Y7" s="188"/>
      <c r="Z7" s="188"/>
      <c r="AA7" s="188"/>
      <c r="AB7" s="188"/>
      <c r="AC7" s="185"/>
      <c r="AD7" s="69"/>
    </row>
    <row r="8" spans="1:32" ht="14.25" customHeight="1" x14ac:dyDescent="0.3">
      <c r="A8" s="15"/>
      <c r="B8" s="182" t="s">
        <v>74</v>
      </c>
      <c r="C8" s="183"/>
      <c r="D8" s="184"/>
      <c r="E8" s="186">
        <f t="shared" ref="E8:H8" si="0">E7*E6</f>
        <v>6000</v>
      </c>
      <c r="F8" s="186">
        <f t="shared" si="0"/>
        <v>6000</v>
      </c>
      <c r="G8" s="186">
        <f t="shared" si="0"/>
        <v>6000</v>
      </c>
      <c r="H8" s="186">
        <f t="shared" si="0"/>
        <v>500</v>
      </c>
      <c r="I8" s="186">
        <f>I7*I6</f>
        <v>452.40000000000003</v>
      </c>
      <c r="J8" s="186">
        <f t="shared" ref="J8:W8" si="1">J7*J6</f>
        <v>456.5</v>
      </c>
      <c r="K8" s="186">
        <f t="shared" si="1"/>
        <v>440.5</v>
      </c>
      <c r="L8" s="186">
        <f t="shared" si="1"/>
        <v>201.7</v>
      </c>
      <c r="M8" s="186">
        <f t="shared" si="1"/>
        <v>2690.25</v>
      </c>
      <c r="N8" s="186">
        <f t="shared" si="1"/>
        <v>1312.5</v>
      </c>
      <c r="O8" s="186">
        <f t="shared" si="1"/>
        <v>2690.25</v>
      </c>
      <c r="P8" s="186">
        <f t="shared" si="1"/>
        <v>3579.75</v>
      </c>
      <c r="Q8" s="186">
        <f t="shared" si="1"/>
        <v>3375</v>
      </c>
      <c r="R8" s="186">
        <f t="shared" si="1"/>
        <v>5241.75</v>
      </c>
      <c r="S8" s="186">
        <f t="shared" si="1"/>
        <v>5880.75</v>
      </c>
      <c r="T8" s="186">
        <f t="shared" si="1"/>
        <v>4000</v>
      </c>
      <c r="U8" s="186">
        <f t="shared" si="1"/>
        <v>4000</v>
      </c>
      <c r="V8" s="186">
        <f t="shared" si="1"/>
        <v>3826</v>
      </c>
      <c r="W8" s="186">
        <f t="shared" si="1"/>
        <v>3524</v>
      </c>
      <c r="X8" s="186"/>
      <c r="Y8" s="186">
        <f>SUM(E8:W8)</f>
        <v>60171.350000000006</v>
      </c>
      <c r="Z8" s="186"/>
      <c r="AA8" s="186"/>
      <c r="AB8" s="186"/>
      <c r="AC8" s="185"/>
      <c r="AD8" s="69"/>
    </row>
    <row r="9" spans="1:32" ht="14.25" customHeight="1" x14ac:dyDescent="0.3">
      <c r="A9" s="15"/>
      <c r="B9" s="182" t="s">
        <v>75</v>
      </c>
      <c r="C9" s="183"/>
      <c r="D9" s="184"/>
      <c r="E9" s="186">
        <f>6000*E6</f>
        <v>6000</v>
      </c>
      <c r="F9" s="186">
        <f t="shared" ref="F9:W9" si="2">6000*F6</f>
        <v>6000</v>
      </c>
      <c r="G9" s="186">
        <f t="shared" si="2"/>
        <v>6000</v>
      </c>
      <c r="H9" s="186">
        <f t="shared" si="2"/>
        <v>6000</v>
      </c>
      <c r="I9" s="186">
        <f t="shared" si="2"/>
        <v>5428.8</v>
      </c>
      <c r="J9" s="186">
        <f t="shared" si="2"/>
        <v>5478</v>
      </c>
      <c r="K9" s="186">
        <f t="shared" si="2"/>
        <v>5286</v>
      </c>
      <c r="L9" s="186">
        <f t="shared" si="2"/>
        <v>2420.4</v>
      </c>
      <c r="M9" s="186">
        <f t="shared" si="2"/>
        <v>2152.2000000000003</v>
      </c>
      <c r="N9" s="186">
        <f t="shared" si="2"/>
        <v>1050</v>
      </c>
      <c r="O9" s="186">
        <f t="shared" si="2"/>
        <v>2152.2000000000003</v>
      </c>
      <c r="P9" s="186">
        <f t="shared" si="2"/>
        <v>2863.8</v>
      </c>
      <c r="Q9" s="186">
        <f t="shared" si="2"/>
        <v>2700</v>
      </c>
      <c r="R9" s="186">
        <f t="shared" si="2"/>
        <v>4193.3999999999996</v>
      </c>
      <c r="S9" s="186">
        <f t="shared" si="2"/>
        <v>4704.6000000000004</v>
      </c>
      <c r="T9" s="186">
        <f t="shared" ref="T9:V9" si="3">4000*T6</f>
        <v>4000</v>
      </c>
      <c r="U9" s="186">
        <f t="shared" si="3"/>
        <v>4000</v>
      </c>
      <c r="V9" s="186">
        <f t="shared" si="3"/>
        <v>3826</v>
      </c>
      <c r="W9" s="186">
        <f>4000*W6</f>
        <v>3524</v>
      </c>
      <c r="X9" s="186"/>
      <c r="Y9" s="186">
        <f>SUM(E9:W9)</f>
        <v>77779.399999999994</v>
      </c>
      <c r="Z9" s="186"/>
      <c r="AA9" s="186"/>
      <c r="AB9" s="186"/>
      <c r="AC9" s="185"/>
      <c r="AD9" s="69"/>
    </row>
    <row r="10" spans="1:32" ht="14.25" customHeight="1" x14ac:dyDescent="0.3">
      <c r="A10" s="15"/>
      <c r="B10" s="182" t="s">
        <v>76</v>
      </c>
      <c r="C10" s="183"/>
      <c r="D10" s="184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5"/>
      <c r="AD10" s="69"/>
    </row>
    <row r="11" spans="1:32" ht="14.25" customHeight="1" x14ac:dyDescent="0.3">
      <c r="A11" s="15"/>
      <c r="B11" s="30" t="s">
        <v>10</v>
      </c>
      <c r="C11" s="31"/>
      <c r="D11" s="32"/>
      <c r="E11" s="33">
        <f>6000-E19</f>
        <v>4909.1000000000004</v>
      </c>
      <c r="F11" s="33">
        <f>6000-F19</f>
        <v>4909.1000000000004</v>
      </c>
      <c r="G11" s="33">
        <f>6000-G19</f>
        <v>4909.1000000000004</v>
      </c>
      <c r="H11" s="33">
        <f>500-H19</f>
        <v>410</v>
      </c>
      <c r="I11" s="33">
        <f>I8*0.75</f>
        <v>339.3</v>
      </c>
      <c r="J11" s="33">
        <f t="shared" ref="J11:L11" si="4">500-J19</f>
        <v>410</v>
      </c>
      <c r="K11" s="33">
        <f t="shared" si="4"/>
        <v>410</v>
      </c>
      <c r="L11" s="33">
        <f t="shared" si="4"/>
        <v>410</v>
      </c>
      <c r="M11" s="34">
        <f>7500-M19</f>
        <v>6136.37</v>
      </c>
      <c r="N11" s="33">
        <v>0</v>
      </c>
      <c r="O11" s="33">
        <v>0</v>
      </c>
      <c r="P11" s="34">
        <v>0</v>
      </c>
      <c r="Q11" s="33">
        <v>5000</v>
      </c>
      <c r="R11" s="34">
        <f>6750-R19</f>
        <v>5522.7272849999999</v>
      </c>
      <c r="S11" s="34">
        <f>6750-S19</f>
        <v>5522.7272849999999</v>
      </c>
      <c r="T11" s="33">
        <f>4000-T19</f>
        <v>3272.73</v>
      </c>
      <c r="U11" s="33">
        <f t="shared" ref="U11:W11" si="5">4000-U19</f>
        <v>3272.73</v>
      </c>
      <c r="V11" s="33">
        <f t="shared" si="5"/>
        <v>3272.73</v>
      </c>
      <c r="W11" s="33">
        <f t="shared" si="5"/>
        <v>3272.73</v>
      </c>
      <c r="X11" s="33">
        <v>0</v>
      </c>
      <c r="Y11" s="34">
        <v>0</v>
      </c>
      <c r="Z11" s="33">
        <v>0</v>
      </c>
      <c r="AA11" s="33">
        <v>0</v>
      </c>
      <c r="AB11" s="34">
        <v>0</v>
      </c>
      <c r="AC11" s="35">
        <f t="shared" ref="AC11:AC28" si="6">SUM(E11:AB11)</f>
        <v>51979.344570000008</v>
      </c>
      <c r="AD11" s="7">
        <v>0</v>
      </c>
    </row>
    <row r="12" spans="1:32" ht="14.25" customHeight="1" x14ac:dyDescent="0.3">
      <c r="A12" s="15"/>
      <c r="B12" s="36" t="s">
        <v>11</v>
      </c>
      <c r="C12" s="37"/>
      <c r="D12" s="146">
        <v>0</v>
      </c>
      <c r="E12" s="39">
        <f t="shared" ref="E12:AB12" si="7">E11*$D$12</f>
        <v>0</v>
      </c>
      <c r="F12" s="39">
        <f t="shared" si="7"/>
        <v>0</v>
      </c>
      <c r="G12" s="40">
        <f t="shared" si="7"/>
        <v>0</v>
      </c>
      <c r="H12" s="39">
        <v>0</v>
      </c>
      <c r="I12" s="39">
        <f t="shared" si="7"/>
        <v>0</v>
      </c>
      <c r="J12" s="40">
        <f t="shared" si="7"/>
        <v>0</v>
      </c>
      <c r="K12" s="39">
        <f t="shared" si="7"/>
        <v>0</v>
      </c>
      <c r="L12" s="39">
        <f t="shared" si="7"/>
        <v>0</v>
      </c>
      <c r="M12" s="40">
        <f t="shared" si="7"/>
        <v>0</v>
      </c>
      <c r="N12" s="39">
        <f t="shared" si="7"/>
        <v>0</v>
      </c>
      <c r="O12" s="39">
        <f t="shared" si="7"/>
        <v>0</v>
      </c>
      <c r="P12" s="40">
        <f t="shared" si="7"/>
        <v>0</v>
      </c>
      <c r="Q12" s="39">
        <f t="shared" si="7"/>
        <v>0</v>
      </c>
      <c r="R12" s="39">
        <f t="shared" si="7"/>
        <v>0</v>
      </c>
      <c r="S12" s="40">
        <f t="shared" si="7"/>
        <v>0</v>
      </c>
      <c r="T12" s="39">
        <f t="shared" si="7"/>
        <v>0</v>
      </c>
      <c r="U12" s="39">
        <f t="shared" si="7"/>
        <v>0</v>
      </c>
      <c r="V12" s="40">
        <f t="shared" si="7"/>
        <v>0</v>
      </c>
      <c r="W12" s="39">
        <f t="shared" si="7"/>
        <v>0</v>
      </c>
      <c r="X12" s="39">
        <f t="shared" si="7"/>
        <v>0</v>
      </c>
      <c r="Y12" s="40">
        <f t="shared" si="7"/>
        <v>0</v>
      </c>
      <c r="Z12" s="39">
        <f t="shared" si="7"/>
        <v>0</v>
      </c>
      <c r="AA12" s="39">
        <f t="shared" si="7"/>
        <v>0</v>
      </c>
      <c r="AB12" s="40">
        <f t="shared" si="7"/>
        <v>0</v>
      </c>
      <c r="AC12" s="41">
        <f t="shared" si="6"/>
        <v>0</v>
      </c>
      <c r="AD12" s="7"/>
      <c r="AF12" s="187" t="s">
        <v>72</v>
      </c>
    </row>
    <row r="13" spans="1:32" ht="14.25" customHeight="1" x14ac:dyDescent="0.3">
      <c r="A13" s="15"/>
      <c r="B13" s="30" t="s">
        <v>12</v>
      </c>
      <c r="C13" s="42"/>
      <c r="D13" s="43"/>
      <c r="E13" s="44">
        <v>0</v>
      </c>
      <c r="F13" s="44">
        <v>0</v>
      </c>
      <c r="G13" s="45">
        <v>0</v>
      </c>
      <c r="H13" s="44">
        <v>0</v>
      </c>
      <c r="I13" s="44">
        <v>0</v>
      </c>
      <c r="J13" s="45">
        <v>0</v>
      </c>
      <c r="K13" s="44">
        <v>0</v>
      </c>
      <c r="L13" s="44">
        <v>0</v>
      </c>
      <c r="M13" s="45">
        <v>0</v>
      </c>
      <c r="N13" s="44">
        <v>0</v>
      </c>
      <c r="O13" s="44">
        <v>0</v>
      </c>
      <c r="P13" s="45">
        <v>0</v>
      </c>
      <c r="Q13" s="44">
        <v>0</v>
      </c>
      <c r="R13" s="44">
        <v>0</v>
      </c>
      <c r="S13" s="45">
        <v>0</v>
      </c>
      <c r="T13" s="44">
        <v>0</v>
      </c>
      <c r="U13" s="44">
        <v>0</v>
      </c>
      <c r="V13" s="45">
        <v>0</v>
      </c>
      <c r="W13" s="44">
        <v>0</v>
      </c>
      <c r="X13" s="44">
        <v>0</v>
      </c>
      <c r="Y13" s="45">
        <v>0</v>
      </c>
      <c r="Z13" s="44">
        <v>0</v>
      </c>
      <c r="AA13" s="44">
        <v>0</v>
      </c>
      <c r="AB13" s="45">
        <v>0</v>
      </c>
      <c r="AC13" s="35">
        <f t="shared" si="6"/>
        <v>0</v>
      </c>
      <c r="AD13" s="7">
        <v>0</v>
      </c>
    </row>
    <row r="14" spans="1:32" ht="14.25" customHeight="1" x14ac:dyDescent="0.3">
      <c r="A14" s="15"/>
      <c r="B14" s="36" t="s">
        <v>11</v>
      </c>
      <c r="C14" s="37"/>
      <c r="D14" s="146">
        <v>0</v>
      </c>
      <c r="E14" s="39">
        <f t="shared" ref="E14:AB14" si="8">E13*$D$14</f>
        <v>0</v>
      </c>
      <c r="F14" s="39">
        <f t="shared" si="8"/>
        <v>0</v>
      </c>
      <c r="G14" s="40">
        <f t="shared" si="8"/>
        <v>0</v>
      </c>
      <c r="H14" s="39">
        <f t="shared" si="8"/>
        <v>0</v>
      </c>
      <c r="I14" s="39">
        <f t="shared" si="8"/>
        <v>0</v>
      </c>
      <c r="J14" s="40">
        <f t="shared" si="8"/>
        <v>0</v>
      </c>
      <c r="K14" s="39">
        <f t="shared" si="8"/>
        <v>0</v>
      </c>
      <c r="L14" s="39">
        <f t="shared" si="8"/>
        <v>0</v>
      </c>
      <c r="M14" s="40">
        <f t="shared" si="8"/>
        <v>0</v>
      </c>
      <c r="N14" s="39">
        <f t="shared" si="8"/>
        <v>0</v>
      </c>
      <c r="O14" s="39">
        <f t="shared" si="8"/>
        <v>0</v>
      </c>
      <c r="P14" s="40">
        <f t="shared" si="8"/>
        <v>0</v>
      </c>
      <c r="Q14" s="39">
        <f t="shared" si="8"/>
        <v>0</v>
      </c>
      <c r="R14" s="39">
        <f t="shared" si="8"/>
        <v>0</v>
      </c>
      <c r="S14" s="40">
        <f t="shared" si="8"/>
        <v>0</v>
      </c>
      <c r="T14" s="39">
        <f t="shared" si="8"/>
        <v>0</v>
      </c>
      <c r="U14" s="39">
        <f t="shared" si="8"/>
        <v>0</v>
      </c>
      <c r="V14" s="40">
        <f t="shared" si="8"/>
        <v>0</v>
      </c>
      <c r="W14" s="39">
        <f t="shared" si="8"/>
        <v>0</v>
      </c>
      <c r="X14" s="39">
        <f t="shared" si="8"/>
        <v>0</v>
      </c>
      <c r="Y14" s="40">
        <f t="shared" si="8"/>
        <v>0</v>
      </c>
      <c r="Z14" s="39">
        <f t="shared" si="8"/>
        <v>0</v>
      </c>
      <c r="AA14" s="39">
        <f t="shared" si="8"/>
        <v>0</v>
      </c>
      <c r="AB14" s="40">
        <f t="shared" si="8"/>
        <v>0</v>
      </c>
      <c r="AC14" s="41">
        <f t="shared" si="6"/>
        <v>0</v>
      </c>
      <c r="AD14" s="7"/>
    </row>
    <row r="15" spans="1:32" ht="14.25" customHeight="1" x14ac:dyDescent="0.3">
      <c r="A15" s="15"/>
      <c r="B15" s="46" t="s">
        <v>13</v>
      </c>
      <c r="C15" s="42"/>
      <c r="D15" s="43"/>
      <c r="E15" s="44">
        <v>0</v>
      </c>
      <c r="F15" s="44">
        <v>0</v>
      </c>
      <c r="G15" s="45">
        <v>0</v>
      </c>
      <c r="H15" s="44">
        <v>0</v>
      </c>
      <c r="I15" s="44">
        <v>0</v>
      </c>
      <c r="J15" s="45">
        <v>0</v>
      </c>
      <c r="K15" s="44">
        <v>0</v>
      </c>
      <c r="L15" s="44">
        <v>0</v>
      </c>
      <c r="M15" s="45">
        <v>0</v>
      </c>
      <c r="N15" s="44">
        <v>0</v>
      </c>
      <c r="O15" s="44">
        <v>0</v>
      </c>
      <c r="P15" s="45">
        <v>0</v>
      </c>
      <c r="Q15" s="44">
        <v>0</v>
      </c>
      <c r="R15" s="44">
        <v>0</v>
      </c>
      <c r="S15" s="45">
        <v>0</v>
      </c>
      <c r="T15" s="44">
        <v>0</v>
      </c>
      <c r="U15" s="44">
        <v>0</v>
      </c>
      <c r="V15" s="45">
        <v>0</v>
      </c>
      <c r="W15" s="44">
        <v>0</v>
      </c>
      <c r="X15" s="44">
        <v>0</v>
      </c>
      <c r="Y15" s="45">
        <v>0</v>
      </c>
      <c r="Z15" s="44">
        <v>0</v>
      </c>
      <c r="AA15" s="44">
        <v>0</v>
      </c>
      <c r="AB15" s="45">
        <v>0</v>
      </c>
      <c r="AC15" s="35">
        <f t="shared" si="6"/>
        <v>0</v>
      </c>
      <c r="AD15" s="7">
        <v>0</v>
      </c>
    </row>
    <row r="16" spans="1:32" ht="14.25" customHeight="1" x14ac:dyDescent="0.3">
      <c r="A16" s="15"/>
      <c r="B16" s="36" t="s">
        <v>11</v>
      </c>
      <c r="C16" s="37"/>
      <c r="D16" s="146">
        <v>0</v>
      </c>
      <c r="E16" s="39">
        <f t="shared" ref="E16:AB16" si="9">E15*$D$16</f>
        <v>0</v>
      </c>
      <c r="F16" s="39">
        <f t="shared" si="9"/>
        <v>0</v>
      </c>
      <c r="G16" s="40">
        <f t="shared" si="9"/>
        <v>0</v>
      </c>
      <c r="H16" s="39">
        <f t="shared" si="9"/>
        <v>0</v>
      </c>
      <c r="I16" s="39">
        <f t="shared" si="9"/>
        <v>0</v>
      </c>
      <c r="J16" s="40">
        <f t="shared" si="9"/>
        <v>0</v>
      </c>
      <c r="K16" s="39">
        <f t="shared" si="9"/>
        <v>0</v>
      </c>
      <c r="L16" s="39">
        <f t="shared" si="9"/>
        <v>0</v>
      </c>
      <c r="M16" s="40">
        <f t="shared" si="9"/>
        <v>0</v>
      </c>
      <c r="N16" s="39">
        <f t="shared" si="9"/>
        <v>0</v>
      </c>
      <c r="O16" s="39">
        <f t="shared" si="9"/>
        <v>0</v>
      </c>
      <c r="P16" s="40">
        <f t="shared" si="9"/>
        <v>0</v>
      </c>
      <c r="Q16" s="39">
        <f t="shared" si="9"/>
        <v>0</v>
      </c>
      <c r="R16" s="39">
        <f t="shared" si="9"/>
        <v>0</v>
      </c>
      <c r="S16" s="40">
        <f t="shared" si="9"/>
        <v>0</v>
      </c>
      <c r="T16" s="39">
        <f t="shared" si="9"/>
        <v>0</v>
      </c>
      <c r="U16" s="39">
        <f t="shared" si="9"/>
        <v>0</v>
      </c>
      <c r="V16" s="40">
        <f t="shared" si="9"/>
        <v>0</v>
      </c>
      <c r="W16" s="39">
        <f t="shared" si="9"/>
        <v>0</v>
      </c>
      <c r="X16" s="39">
        <f t="shared" si="9"/>
        <v>0</v>
      </c>
      <c r="Y16" s="40">
        <f t="shared" si="9"/>
        <v>0</v>
      </c>
      <c r="Z16" s="39">
        <f t="shared" si="9"/>
        <v>0</v>
      </c>
      <c r="AA16" s="39">
        <f t="shared" si="9"/>
        <v>0</v>
      </c>
      <c r="AB16" s="40">
        <f t="shared" si="9"/>
        <v>0</v>
      </c>
      <c r="AC16" s="41">
        <f t="shared" si="6"/>
        <v>0</v>
      </c>
      <c r="AD16" s="7"/>
    </row>
    <row r="17" spans="1:30" ht="14.25" customHeight="1" x14ac:dyDescent="0.3">
      <c r="A17" s="15"/>
      <c r="B17" s="30" t="s">
        <v>14</v>
      </c>
      <c r="C17" s="42"/>
      <c r="D17" s="43"/>
      <c r="E17" s="44">
        <v>0</v>
      </c>
      <c r="F17" s="44">
        <v>0</v>
      </c>
      <c r="G17" s="45">
        <v>0</v>
      </c>
      <c r="H17" s="44">
        <v>0</v>
      </c>
      <c r="I17" s="44">
        <f>I8*0.2</f>
        <v>90.480000000000018</v>
      </c>
      <c r="J17" s="45">
        <v>0</v>
      </c>
      <c r="K17" s="44">
        <v>0</v>
      </c>
      <c r="L17" s="44">
        <v>0</v>
      </c>
      <c r="M17" s="45">
        <v>0</v>
      </c>
      <c r="N17" s="44">
        <v>0</v>
      </c>
      <c r="O17" s="44">
        <v>0</v>
      </c>
      <c r="P17" s="45">
        <v>0</v>
      </c>
      <c r="Q17" s="44">
        <v>0</v>
      </c>
      <c r="R17" s="44">
        <v>0</v>
      </c>
      <c r="S17" s="45">
        <v>0</v>
      </c>
      <c r="T17" s="44">
        <v>0</v>
      </c>
      <c r="U17" s="44">
        <v>0</v>
      </c>
      <c r="V17" s="45">
        <v>0</v>
      </c>
      <c r="W17" s="44">
        <v>0</v>
      </c>
      <c r="X17" s="44">
        <v>0</v>
      </c>
      <c r="Y17" s="45">
        <v>0</v>
      </c>
      <c r="Z17" s="44">
        <v>0</v>
      </c>
      <c r="AA17" s="44">
        <v>0</v>
      </c>
      <c r="AB17" s="45">
        <v>0</v>
      </c>
      <c r="AC17" s="35">
        <f t="shared" si="6"/>
        <v>90.480000000000018</v>
      </c>
      <c r="AD17" s="7">
        <v>0</v>
      </c>
    </row>
    <row r="18" spans="1:30" ht="14.25" customHeight="1" x14ac:dyDescent="0.3">
      <c r="A18" s="15"/>
      <c r="B18" s="36" t="s">
        <v>11</v>
      </c>
      <c r="C18" s="37"/>
      <c r="D18" s="146">
        <v>0</v>
      </c>
      <c r="E18" s="39">
        <f t="shared" ref="E18:AB18" si="10">E17*$D$18</f>
        <v>0</v>
      </c>
      <c r="F18" s="39">
        <f t="shared" si="10"/>
        <v>0</v>
      </c>
      <c r="G18" s="40">
        <f t="shared" si="10"/>
        <v>0</v>
      </c>
      <c r="H18" s="39">
        <f t="shared" si="10"/>
        <v>0</v>
      </c>
      <c r="I18" s="39">
        <f t="shared" si="10"/>
        <v>0</v>
      </c>
      <c r="J18" s="40">
        <f t="shared" si="10"/>
        <v>0</v>
      </c>
      <c r="K18" s="39">
        <f t="shared" si="10"/>
        <v>0</v>
      </c>
      <c r="L18" s="39">
        <f t="shared" si="10"/>
        <v>0</v>
      </c>
      <c r="M18" s="40">
        <f t="shared" si="10"/>
        <v>0</v>
      </c>
      <c r="N18" s="39">
        <f t="shared" si="10"/>
        <v>0</v>
      </c>
      <c r="O18" s="39">
        <f t="shared" si="10"/>
        <v>0</v>
      </c>
      <c r="P18" s="40">
        <f t="shared" si="10"/>
        <v>0</v>
      </c>
      <c r="Q18" s="39">
        <f t="shared" si="10"/>
        <v>0</v>
      </c>
      <c r="R18" s="39">
        <f t="shared" si="10"/>
        <v>0</v>
      </c>
      <c r="S18" s="40">
        <f t="shared" si="10"/>
        <v>0</v>
      </c>
      <c r="T18" s="39">
        <f t="shared" si="10"/>
        <v>0</v>
      </c>
      <c r="U18" s="39">
        <f t="shared" si="10"/>
        <v>0</v>
      </c>
      <c r="V18" s="40">
        <f t="shared" si="10"/>
        <v>0</v>
      </c>
      <c r="W18" s="39">
        <f t="shared" si="10"/>
        <v>0</v>
      </c>
      <c r="X18" s="39">
        <f t="shared" si="10"/>
        <v>0</v>
      </c>
      <c r="Y18" s="40">
        <f t="shared" si="10"/>
        <v>0</v>
      </c>
      <c r="Z18" s="39">
        <f t="shared" si="10"/>
        <v>0</v>
      </c>
      <c r="AA18" s="39">
        <f t="shared" si="10"/>
        <v>0</v>
      </c>
      <c r="AB18" s="40">
        <f t="shared" si="10"/>
        <v>0</v>
      </c>
      <c r="AC18" s="41">
        <f t="shared" si="6"/>
        <v>0</v>
      </c>
      <c r="AD18" s="7"/>
    </row>
    <row r="19" spans="1:30" ht="14.25" customHeight="1" x14ac:dyDescent="0.3">
      <c r="A19" s="15"/>
      <c r="B19" s="46" t="s">
        <v>17</v>
      </c>
      <c r="C19" s="42"/>
      <c r="D19" s="43"/>
      <c r="E19" s="44">
        <v>1090.9000000000001</v>
      </c>
      <c r="F19" s="44">
        <v>1090.9000000000001</v>
      </c>
      <c r="G19" s="44">
        <v>1090.9000000000001</v>
      </c>
      <c r="H19" s="44">
        <v>90</v>
      </c>
      <c r="I19" s="44">
        <f>I8*0.05</f>
        <v>22.620000000000005</v>
      </c>
      <c r="J19" s="45">
        <v>90</v>
      </c>
      <c r="K19" s="44">
        <v>90</v>
      </c>
      <c r="L19" s="44">
        <v>90</v>
      </c>
      <c r="M19" s="45">
        <v>1363.63</v>
      </c>
      <c r="N19" s="45">
        <v>1363.63</v>
      </c>
      <c r="O19" s="44">
        <v>0</v>
      </c>
      <c r="P19" s="45">
        <v>0</v>
      </c>
      <c r="Q19" s="44">
        <v>0</v>
      </c>
      <c r="R19" s="45">
        <f>6750*0.18181818</f>
        <v>1227.2727150000001</v>
      </c>
      <c r="S19" s="45">
        <f>6750*0.18181818</f>
        <v>1227.2727150000001</v>
      </c>
      <c r="T19" s="44">
        <v>727.27</v>
      </c>
      <c r="U19" s="44">
        <v>727.27</v>
      </c>
      <c r="V19" s="44">
        <v>727.27</v>
      </c>
      <c r="W19" s="44">
        <v>727.27</v>
      </c>
      <c r="X19" s="44">
        <v>0</v>
      </c>
      <c r="Y19" s="45">
        <v>0</v>
      </c>
      <c r="Z19" s="44">
        <v>0</v>
      </c>
      <c r="AA19" s="44">
        <v>0</v>
      </c>
      <c r="AB19" s="45">
        <v>0</v>
      </c>
      <c r="AC19" s="35">
        <f t="shared" si="6"/>
        <v>11746.205430000002</v>
      </c>
      <c r="AD19" s="7">
        <v>0</v>
      </c>
    </row>
    <row r="20" spans="1:30" ht="14.25" customHeight="1" x14ac:dyDescent="0.3">
      <c r="A20" s="15"/>
      <c r="B20" s="36" t="s">
        <v>11</v>
      </c>
      <c r="C20" s="37"/>
      <c r="D20" s="146">
        <v>0</v>
      </c>
      <c r="E20" s="39">
        <f t="shared" ref="E20:AB20" si="11">E19*$D$20</f>
        <v>0</v>
      </c>
      <c r="F20" s="39">
        <f t="shared" si="11"/>
        <v>0</v>
      </c>
      <c r="G20" s="40">
        <f t="shared" si="11"/>
        <v>0</v>
      </c>
      <c r="H20" s="39">
        <f t="shared" si="11"/>
        <v>0</v>
      </c>
      <c r="I20" s="39">
        <f t="shared" si="11"/>
        <v>0</v>
      </c>
      <c r="J20" s="40">
        <f t="shared" si="11"/>
        <v>0</v>
      </c>
      <c r="K20" s="39">
        <f t="shared" si="11"/>
        <v>0</v>
      </c>
      <c r="L20" s="39">
        <f t="shared" si="11"/>
        <v>0</v>
      </c>
      <c r="M20" s="40">
        <f t="shared" si="11"/>
        <v>0</v>
      </c>
      <c r="N20" s="39">
        <f t="shared" si="11"/>
        <v>0</v>
      </c>
      <c r="O20" s="39">
        <f t="shared" si="11"/>
        <v>0</v>
      </c>
      <c r="P20" s="40">
        <f t="shared" si="11"/>
        <v>0</v>
      </c>
      <c r="Q20" s="39">
        <f t="shared" si="11"/>
        <v>0</v>
      </c>
      <c r="R20" s="39">
        <f t="shared" si="11"/>
        <v>0</v>
      </c>
      <c r="S20" s="40">
        <f t="shared" si="11"/>
        <v>0</v>
      </c>
      <c r="T20" s="39">
        <f t="shared" si="11"/>
        <v>0</v>
      </c>
      <c r="U20" s="39">
        <f t="shared" si="11"/>
        <v>0</v>
      </c>
      <c r="V20" s="40">
        <f t="shared" si="11"/>
        <v>0</v>
      </c>
      <c r="W20" s="39">
        <f t="shared" si="11"/>
        <v>0</v>
      </c>
      <c r="X20" s="39">
        <f t="shared" si="11"/>
        <v>0</v>
      </c>
      <c r="Y20" s="40">
        <f t="shared" si="11"/>
        <v>0</v>
      </c>
      <c r="Z20" s="39">
        <f t="shared" si="11"/>
        <v>0</v>
      </c>
      <c r="AA20" s="39">
        <f t="shared" si="11"/>
        <v>0</v>
      </c>
      <c r="AB20" s="40">
        <f t="shared" si="11"/>
        <v>0</v>
      </c>
      <c r="AC20" s="41">
        <f t="shared" si="6"/>
        <v>0</v>
      </c>
      <c r="AD20" s="7"/>
    </row>
    <row r="21" spans="1:30" ht="14.25" customHeight="1" x14ac:dyDescent="0.3">
      <c r="A21" s="15"/>
      <c r="B21" s="47" t="s">
        <v>19</v>
      </c>
      <c r="C21" s="42"/>
      <c r="D21" s="43"/>
      <c r="E21" s="44">
        <v>0</v>
      </c>
      <c r="F21" s="44">
        <v>0</v>
      </c>
      <c r="G21" s="45">
        <v>0</v>
      </c>
      <c r="H21" s="44">
        <v>0</v>
      </c>
      <c r="I21" s="44">
        <v>0</v>
      </c>
      <c r="J21" s="45">
        <v>0</v>
      </c>
      <c r="K21" s="44">
        <v>0</v>
      </c>
      <c r="L21" s="44">
        <v>0</v>
      </c>
      <c r="M21" s="45">
        <v>0</v>
      </c>
      <c r="N21" s="44">
        <v>0</v>
      </c>
      <c r="O21" s="44">
        <v>0</v>
      </c>
      <c r="P21" s="45">
        <v>0</v>
      </c>
      <c r="Q21" s="44">
        <v>0</v>
      </c>
      <c r="R21" s="44">
        <v>0</v>
      </c>
      <c r="S21" s="45">
        <v>0</v>
      </c>
      <c r="T21" s="44">
        <v>0</v>
      </c>
      <c r="U21" s="44">
        <v>0</v>
      </c>
      <c r="V21" s="45">
        <v>0</v>
      </c>
      <c r="W21" s="44">
        <v>0</v>
      </c>
      <c r="X21" s="44">
        <v>0</v>
      </c>
      <c r="Y21" s="45">
        <v>0</v>
      </c>
      <c r="Z21" s="44">
        <v>0</v>
      </c>
      <c r="AA21" s="44">
        <v>0</v>
      </c>
      <c r="AB21" s="45">
        <v>0</v>
      </c>
      <c r="AC21" s="35">
        <f t="shared" si="6"/>
        <v>0</v>
      </c>
      <c r="AD21" s="7">
        <v>0</v>
      </c>
    </row>
    <row r="22" spans="1:30" ht="14.25" customHeight="1" x14ac:dyDescent="0.3">
      <c r="A22" s="15"/>
      <c r="B22" s="36" t="s">
        <v>11</v>
      </c>
      <c r="C22" s="37"/>
      <c r="D22" s="146">
        <v>0</v>
      </c>
      <c r="E22" s="39">
        <f t="shared" ref="E22:AB22" si="12">E21*$D$22</f>
        <v>0</v>
      </c>
      <c r="F22" s="39">
        <f t="shared" si="12"/>
        <v>0</v>
      </c>
      <c r="G22" s="40">
        <f t="shared" si="12"/>
        <v>0</v>
      </c>
      <c r="H22" s="39">
        <f t="shared" si="12"/>
        <v>0</v>
      </c>
      <c r="I22" s="39">
        <f t="shared" si="12"/>
        <v>0</v>
      </c>
      <c r="J22" s="40">
        <f t="shared" si="12"/>
        <v>0</v>
      </c>
      <c r="K22" s="39">
        <f t="shared" si="12"/>
        <v>0</v>
      </c>
      <c r="L22" s="39">
        <f t="shared" si="12"/>
        <v>0</v>
      </c>
      <c r="M22" s="40">
        <f t="shared" si="12"/>
        <v>0</v>
      </c>
      <c r="N22" s="39">
        <f t="shared" si="12"/>
        <v>0</v>
      </c>
      <c r="O22" s="39">
        <f t="shared" si="12"/>
        <v>0</v>
      </c>
      <c r="P22" s="40">
        <f t="shared" si="12"/>
        <v>0</v>
      </c>
      <c r="Q22" s="39">
        <f t="shared" si="12"/>
        <v>0</v>
      </c>
      <c r="R22" s="39">
        <f t="shared" si="12"/>
        <v>0</v>
      </c>
      <c r="S22" s="40">
        <f t="shared" si="12"/>
        <v>0</v>
      </c>
      <c r="T22" s="39">
        <f t="shared" si="12"/>
        <v>0</v>
      </c>
      <c r="U22" s="39">
        <f t="shared" si="12"/>
        <v>0</v>
      </c>
      <c r="V22" s="40">
        <f t="shared" si="12"/>
        <v>0</v>
      </c>
      <c r="W22" s="39">
        <f t="shared" si="12"/>
        <v>0</v>
      </c>
      <c r="X22" s="39">
        <f t="shared" si="12"/>
        <v>0</v>
      </c>
      <c r="Y22" s="40">
        <f t="shared" si="12"/>
        <v>0</v>
      </c>
      <c r="Z22" s="39">
        <f t="shared" si="12"/>
        <v>0</v>
      </c>
      <c r="AA22" s="39">
        <f t="shared" si="12"/>
        <v>0</v>
      </c>
      <c r="AB22" s="40">
        <f t="shared" si="12"/>
        <v>0</v>
      </c>
      <c r="AC22" s="41">
        <f t="shared" si="6"/>
        <v>0</v>
      </c>
      <c r="AD22" s="7"/>
    </row>
    <row r="23" spans="1:30" ht="14.25" customHeight="1" x14ac:dyDescent="0.3">
      <c r="A23" s="15"/>
      <c r="B23" s="46" t="s">
        <v>20</v>
      </c>
      <c r="C23" s="42"/>
      <c r="D23" s="43"/>
      <c r="E23" s="44">
        <v>0</v>
      </c>
      <c r="F23" s="44">
        <v>0</v>
      </c>
      <c r="G23" s="45">
        <v>0</v>
      </c>
      <c r="H23" s="44">
        <v>0</v>
      </c>
      <c r="I23" s="44">
        <v>0</v>
      </c>
      <c r="J23" s="45">
        <v>0</v>
      </c>
      <c r="K23" s="44">
        <v>0</v>
      </c>
      <c r="L23" s="44">
        <v>0</v>
      </c>
      <c r="M23" s="45">
        <v>0</v>
      </c>
      <c r="N23" s="44">
        <v>0</v>
      </c>
      <c r="O23" s="44">
        <v>0</v>
      </c>
      <c r="P23" s="45">
        <v>0</v>
      </c>
      <c r="Q23" s="44">
        <v>0</v>
      </c>
      <c r="R23" s="44">
        <v>0</v>
      </c>
      <c r="S23" s="45">
        <v>0</v>
      </c>
      <c r="T23" s="44">
        <v>0</v>
      </c>
      <c r="U23" s="44">
        <v>0</v>
      </c>
      <c r="V23" s="45">
        <v>0</v>
      </c>
      <c r="W23" s="44">
        <v>0</v>
      </c>
      <c r="X23" s="44">
        <v>0</v>
      </c>
      <c r="Y23" s="45">
        <v>0</v>
      </c>
      <c r="Z23" s="44">
        <v>0</v>
      </c>
      <c r="AA23" s="44">
        <v>0</v>
      </c>
      <c r="AB23" s="45">
        <v>0</v>
      </c>
      <c r="AC23" s="35">
        <f t="shared" si="6"/>
        <v>0</v>
      </c>
      <c r="AD23" s="7">
        <v>0</v>
      </c>
    </row>
    <row r="24" spans="1:30" ht="14.25" customHeight="1" x14ac:dyDescent="0.3">
      <c r="A24" s="15"/>
      <c r="B24" s="36" t="s">
        <v>11</v>
      </c>
      <c r="C24" s="37"/>
      <c r="D24" s="146">
        <v>0</v>
      </c>
      <c r="E24" s="39">
        <f t="shared" ref="E24:AB24" si="13">E23*$D$24</f>
        <v>0</v>
      </c>
      <c r="F24" s="39">
        <f t="shared" si="13"/>
        <v>0</v>
      </c>
      <c r="G24" s="40">
        <f t="shared" si="13"/>
        <v>0</v>
      </c>
      <c r="H24" s="39">
        <f t="shared" si="13"/>
        <v>0</v>
      </c>
      <c r="I24" s="39">
        <f t="shared" si="13"/>
        <v>0</v>
      </c>
      <c r="J24" s="40">
        <f t="shared" si="13"/>
        <v>0</v>
      </c>
      <c r="K24" s="39">
        <f t="shared" si="13"/>
        <v>0</v>
      </c>
      <c r="L24" s="39">
        <f t="shared" si="13"/>
        <v>0</v>
      </c>
      <c r="M24" s="40">
        <f t="shared" si="13"/>
        <v>0</v>
      </c>
      <c r="N24" s="39">
        <f t="shared" si="13"/>
        <v>0</v>
      </c>
      <c r="O24" s="39">
        <f t="shared" si="13"/>
        <v>0</v>
      </c>
      <c r="P24" s="40">
        <f t="shared" si="13"/>
        <v>0</v>
      </c>
      <c r="Q24" s="39">
        <f t="shared" si="13"/>
        <v>0</v>
      </c>
      <c r="R24" s="39">
        <f t="shared" si="13"/>
        <v>0</v>
      </c>
      <c r="S24" s="40">
        <f t="shared" si="13"/>
        <v>0</v>
      </c>
      <c r="T24" s="39">
        <f t="shared" si="13"/>
        <v>0</v>
      </c>
      <c r="U24" s="39">
        <f t="shared" si="13"/>
        <v>0</v>
      </c>
      <c r="V24" s="40">
        <f t="shared" si="13"/>
        <v>0</v>
      </c>
      <c r="W24" s="39">
        <f t="shared" si="13"/>
        <v>0</v>
      </c>
      <c r="X24" s="39">
        <f t="shared" si="13"/>
        <v>0</v>
      </c>
      <c r="Y24" s="40">
        <f t="shared" si="13"/>
        <v>0</v>
      </c>
      <c r="Z24" s="39">
        <f t="shared" si="13"/>
        <v>0</v>
      </c>
      <c r="AA24" s="39">
        <f t="shared" si="13"/>
        <v>0</v>
      </c>
      <c r="AB24" s="40">
        <f t="shared" si="13"/>
        <v>0</v>
      </c>
      <c r="AC24" s="41">
        <f t="shared" si="6"/>
        <v>0</v>
      </c>
      <c r="AD24" s="7"/>
    </row>
    <row r="25" spans="1:30" ht="14.25" customHeight="1" x14ac:dyDescent="0.3">
      <c r="A25" s="15"/>
      <c r="B25" s="46" t="s">
        <v>20</v>
      </c>
      <c r="C25" s="48"/>
      <c r="D25" s="49"/>
      <c r="E25" s="50">
        <v>0</v>
      </c>
      <c r="F25" s="50">
        <v>0</v>
      </c>
      <c r="G25" s="51">
        <v>0</v>
      </c>
      <c r="H25" s="50">
        <v>0</v>
      </c>
      <c r="I25" s="50">
        <v>0</v>
      </c>
      <c r="J25" s="51">
        <v>0</v>
      </c>
      <c r="K25" s="50">
        <v>0</v>
      </c>
      <c r="L25" s="50">
        <v>0</v>
      </c>
      <c r="M25" s="51">
        <v>0</v>
      </c>
      <c r="N25" s="50">
        <v>0</v>
      </c>
      <c r="O25" s="50">
        <v>0</v>
      </c>
      <c r="P25" s="51">
        <v>0</v>
      </c>
      <c r="Q25" s="50">
        <v>0</v>
      </c>
      <c r="R25" s="50">
        <v>0</v>
      </c>
      <c r="S25" s="51">
        <v>0</v>
      </c>
      <c r="T25" s="50">
        <v>0</v>
      </c>
      <c r="U25" s="50">
        <v>0</v>
      </c>
      <c r="V25" s="51">
        <v>0</v>
      </c>
      <c r="W25" s="50">
        <v>0</v>
      </c>
      <c r="X25" s="50">
        <v>0</v>
      </c>
      <c r="Y25" s="51">
        <v>0</v>
      </c>
      <c r="Z25" s="50">
        <v>0</v>
      </c>
      <c r="AA25" s="50">
        <v>0</v>
      </c>
      <c r="AB25" s="51">
        <v>0</v>
      </c>
      <c r="AC25" s="35">
        <f t="shared" si="6"/>
        <v>0</v>
      </c>
      <c r="AD25" s="7">
        <v>0</v>
      </c>
    </row>
    <row r="26" spans="1:30" ht="14.25" customHeight="1" x14ac:dyDescent="0.3">
      <c r="A26" s="15"/>
      <c r="B26" s="36" t="s">
        <v>11</v>
      </c>
      <c r="C26" s="37"/>
      <c r="D26" s="146">
        <v>0</v>
      </c>
      <c r="E26" s="39">
        <f t="shared" ref="E26:AB26" si="14">E25*$D$26</f>
        <v>0</v>
      </c>
      <c r="F26" s="39">
        <f t="shared" si="14"/>
        <v>0</v>
      </c>
      <c r="G26" s="40">
        <f t="shared" si="14"/>
        <v>0</v>
      </c>
      <c r="H26" s="39">
        <f t="shared" si="14"/>
        <v>0</v>
      </c>
      <c r="I26" s="39">
        <f t="shared" si="14"/>
        <v>0</v>
      </c>
      <c r="J26" s="40">
        <f t="shared" si="14"/>
        <v>0</v>
      </c>
      <c r="K26" s="39">
        <f t="shared" si="14"/>
        <v>0</v>
      </c>
      <c r="L26" s="39">
        <f t="shared" si="14"/>
        <v>0</v>
      </c>
      <c r="M26" s="40">
        <f t="shared" si="14"/>
        <v>0</v>
      </c>
      <c r="N26" s="39">
        <f t="shared" si="14"/>
        <v>0</v>
      </c>
      <c r="O26" s="39">
        <f t="shared" si="14"/>
        <v>0</v>
      </c>
      <c r="P26" s="40">
        <f t="shared" si="14"/>
        <v>0</v>
      </c>
      <c r="Q26" s="39">
        <f t="shared" si="14"/>
        <v>0</v>
      </c>
      <c r="R26" s="39">
        <f t="shared" si="14"/>
        <v>0</v>
      </c>
      <c r="S26" s="40">
        <f t="shared" si="14"/>
        <v>0</v>
      </c>
      <c r="T26" s="39">
        <f t="shared" si="14"/>
        <v>0</v>
      </c>
      <c r="U26" s="39">
        <f t="shared" si="14"/>
        <v>0</v>
      </c>
      <c r="V26" s="40">
        <f t="shared" si="14"/>
        <v>0</v>
      </c>
      <c r="W26" s="39">
        <f t="shared" si="14"/>
        <v>0</v>
      </c>
      <c r="X26" s="39">
        <f t="shared" si="14"/>
        <v>0</v>
      </c>
      <c r="Y26" s="40">
        <f t="shared" si="14"/>
        <v>0</v>
      </c>
      <c r="Z26" s="39">
        <f t="shared" si="14"/>
        <v>0</v>
      </c>
      <c r="AA26" s="39">
        <f t="shared" si="14"/>
        <v>0</v>
      </c>
      <c r="AB26" s="40">
        <f t="shared" si="14"/>
        <v>0</v>
      </c>
      <c r="AC26" s="41">
        <f t="shared" si="6"/>
        <v>0</v>
      </c>
      <c r="AD26" s="7"/>
    </row>
    <row r="27" spans="1:30" ht="14.25" customHeight="1" x14ac:dyDescent="0.3">
      <c r="A27" s="15"/>
      <c r="B27" s="52" t="s">
        <v>21</v>
      </c>
      <c r="C27" s="53"/>
      <c r="D27" s="53"/>
      <c r="E27" s="54">
        <f t="shared" ref="E27:AB27" si="15">E11+E13+E15+E17+E19+E21+E23+E25</f>
        <v>6000</v>
      </c>
      <c r="F27" s="54">
        <f t="shared" si="15"/>
        <v>6000</v>
      </c>
      <c r="G27" s="54">
        <f t="shared" si="15"/>
        <v>6000</v>
      </c>
      <c r="H27" s="54">
        <f t="shared" si="15"/>
        <v>500</v>
      </c>
      <c r="I27" s="54">
        <f t="shared" si="15"/>
        <v>452.40000000000003</v>
      </c>
      <c r="J27" s="54">
        <f t="shared" si="15"/>
        <v>500</v>
      </c>
      <c r="K27" s="54">
        <f t="shared" si="15"/>
        <v>500</v>
      </c>
      <c r="L27" s="54">
        <f t="shared" si="15"/>
        <v>500</v>
      </c>
      <c r="M27" s="54">
        <f t="shared" si="15"/>
        <v>7500</v>
      </c>
      <c r="N27" s="54">
        <f t="shared" si="15"/>
        <v>1363.63</v>
      </c>
      <c r="O27" s="54">
        <f t="shared" si="15"/>
        <v>0</v>
      </c>
      <c r="P27" s="54">
        <f t="shared" si="15"/>
        <v>0</v>
      </c>
      <c r="Q27" s="54">
        <f t="shared" si="15"/>
        <v>5000</v>
      </c>
      <c r="R27" s="54">
        <f t="shared" si="15"/>
        <v>6750</v>
      </c>
      <c r="S27" s="54">
        <f t="shared" si="15"/>
        <v>6750</v>
      </c>
      <c r="T27" s="54">
        <f t="shared" si="15"/>
        <v>4000</v>
      </c>
      <c r="U27" s="54">
        <f t="shared" si="15"/>
        <v>4000</v>
      </c>
      <c r="V27" s="54">
        <f t="shared" si="15"/>
        <v>4000</v>
      </c>
      <c r="W27" s="54">
        <f t="shared" si="15"/>
        <v>4000</v>
      </c>
      <c r="X27" s="54">
        <f t="shared" si="15"/>
        <v>0</v>
      </c>
      <c r="Y27" s="54">
        <f t="shared" si="15"/>
        <v>0</v>
      </c>
      <c r="Z27" s="54">
        <f t="shared" si="15"/>
        <v>0</v>
      </c>
      <c r="AA27" s="54">
        <f t="shared" si="15"/>
        <v>0</v>
      </c>
      <c r="AB27" s="54">
        <f t="shared" si="15"/>
        <v>0</v>
      </c>
      <c r="AC27" s="54">
        <f t="shared" si="6"/>
        <v>63816.03</v>
      </c>
      <c r="AD27" s="6" t="s">
        <v>4</v>
      </c>
    </row>
    <row r="28" spans="1:30" ht="14.25" customHeight="1" x14ac:dyDescent="0.3">
      <c r="A28" s="15"/>
      <c r="B28" s="55" t="s">
        <v>23</v>
      </c>
      <c r="C28" s="56"/>
      <c r="D28" s="56"/>
      <c r="E28" s="57">
        <f t="shared" ref="E28:AB28" si="16">E12+E14+E16+E18+E20+E22+E24+E26</f>
        <v>0</v>
      </c>
      <c r="F28" s="57">
        <f t="shared" si="16"/>
        <v>0</v>
      </c>
      <c r="G28" s="58">
        <f t="shared" si="16"/>
        <v>0</v>
      </c>
      <c r="H28" s="57">
        <f t="shared" si="16"/>
        <v>0</v>
      </c>
      <c r="I28" s="57">
        <f t="shared" si="16"/>
        <v>0</v>
      </c>
      <c r="J28" s="58">
        <f t="shared" si="16"/>
        <v>0</v>
      </c>
      <c r="K28" s="57">
        <f t="shared" si="16"/>
        <v>0</v>
      </c>
      <c r="L28" s="57">
        <f t="shared" si="16"/>
        <v>0</v>
      </c>
      <c r="M28" s="58">
        <f t="shared" si="16"/>
        <v>0</v>
      </c>
      <c r="N28" s="57">
        <f t="shared" si="16"/>
        <v>0</v>
      </c>
      <c r="O28" s="57">
        <f t="shared" si="16"/>
        <v>0</v>
      </c>
      <c r="P28" s="58">
        <f t="shared" si="16"/>
        <v>0</v>
      </c>
      <c r="Q28" s="57">
        <f t="shared" si="16"/>
        <v>0</v>
      </c>
      <c r="R28" s="57">
        <f t="shared" si="16"/>
        <v>0</v>
      </c>
      <c r="S28" s="58">
        <f t="shared" si="16"/>
        <v>0</v>
      </c>
      <c r="T28" s="57">
        <f t="shared" si="16"/>
        <v>0</v>
      </c>
      <c r="U28" s="57">
        <f t="shared" si="16"/>
        <v>0</v>
      </c>
      <c r="V28" s="58">
        <f t="shared" si="16"/>
        <v>0</v>
      </c>
      <c r="W28" s="57">
        <f t="shared" si="16"/>
        <v>0</v>
      </c>
      <c r="X28" s="57">
        <f t="shared" si="16"/>
        <v>0</v>
      </c>
      <c r="Y28" s="58">
        <f t="shared" si="16"/>
        <v>0</v>
      </c>
      <c r="Z28" s="57">
        <f t="shared" si="16"/>
        <v>0</v>
      </c>
      <c r="AA28" s="57">
        <f t="shared" si="16"/>
        <v>0</v>
      </c>
      <c r="AB28" s="58">
        <f t="shared" si="16"/>
        <v>0</v>
      </c>
      <c r="AC28" s="57">
        <f t="shared" si="6"/>
        <v>0</v>
      </c>
      <c r="AD28" s="6"/>
    </row>
    <row r="29" spans="1:30" ht="14.25" customHeight="1" x14ac:dyDescent="0.3">
      <c r="A29" s="15"/>
      <c r="B29" s="59" t="s">
        <v>22</v>
      </c>
      <c r="C29" s="60"/>
      <c r="D29" s="60"/>
      <c r="E29" s="61">
        <f t="shared" ref="E29:AC29" si="17">E27+E28</f>
        <v>6000</v>
      </c>
      <c r="F29" s="61">
        <f t="shared" si="17"/>
        <v>6000</v>
      </c>
      <c r="G29" s="62">
        <f t="shared" si="17"/>
        <v>6000</v>
      </c>
      <c r="H29" s="61">
        <f t="shared" si="17"/>
        <v>500</v>
      </c>
      <c r="I29" s="61">
        <f t="shared" si="17"/>
        <v>452.40000000000003</v>
      </c>
      <c r="J29" s="62">
        <f t="shared" si="17"/>
        <v>500</v>
      </c>
      <c r="K29" s="61">
        <f t="shared" si="17"/>
        <v>500</v>
      </c>
      <c r="L29" s="61">
        <f t="shared" si="17"/>
        <v>500</v>
      </c>
      <c r="M29" s="62">
        <f t="shared" si="17"/>
        <v>7500</v>
      </c>
      <c r="N29" s="61">
        <f t="shared" si="17"/>
        <v>1363.63</v>
      </c>
      <c r="O29" s="61">
        <f t="shared" si="17"/>
        <v>0</v>
      </c>
      <c r="P29" s="62">
        <f t="shared" si="17"/>
        <v>0</v>
      </c>
      <c r="Q29" s="61">
        <f t="shared" si="17"/>
        <v>5000</v>
      </c>
      <c r="R29" s="61">
        <f t="shared" si="17"/>
        <v>6750</v>
      </c>
      <c r="S29" s="62">
        <f t="shared" si="17"/>
        <v>6750</v>
      </c>
      <c r="T29" s="61">
        <f t="shared" si="17"/>
        <v>4000</v>
      </c>
      <c r="U29" s="61">
        <f t="shared" si="17"/>
        <v>4000</v>
      </c>
      <c r="V29" s="62">
        <f t="shared" si="17"/>
        <v>4000</v>
      </c>
      <c r="W29" s="61">
        <f t="shared" si="17"/>
        <v>4000</v>
      </c>
      <c r="X29" s="61">
        <f t="shared" si="17"/>
        <v>0</v>
      </c>
      <c r="Y29" s="62">
        <f t="shared" si="17"/>
        <v>0</v>
      </c>
      <c r="Z29" s="61">
        <f t="shared" si="17"/>
        <v>0</v>
      </c>
      <c r="AA29" s="61">
        <f t="shared" si="17"/>
        <v>0</v>
      </c>
      <c r="AB29" s="62">
        <f t="shared" si="17"/>
        <v>0</v>
      </c>
      <c r="AC29" s="61">
        <f t="shared" si="17"/>
        <v>63816.03</v>
      </c>
      <c r="AD29" s="147">
        <f>AD11+AD13+AD15+AD17+AD19+AD21+AD23+AD25</f>
        <v>0</v>
      </c>
    </row>
    <row r="30" spans="1:30" ht="14.25" customHeight="1" x14ac:dyDescent="0.3">
      <c r="A30" s="15"/>
      <c r="B30" s="65"/>
      <c r="C30" s="66"/>
      <c r="D30" s="66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8"/>
      <c r="AD30" s="69"/>
    </row>
    <row r="31" spans="1:30" ht="14.25" customHeight="1" x14ac:dyDescent="0.3">
      <c r="A31" s="15"/>
      <c r="B31" s="71" t="s">
        <v>24</v>
      </c>
      <c r="C31" s="26"/>
      <c r="D31" s="27" t="s">
        <v>69</v>
      </c>
      <c r="E31" s="8" t="s">
        <v>28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8"/>
      <c r="AD31" s="29"/>
    </row>
    <row r="32" spans="1:30" ht="14.25" customHeight="1" x14ac:dyDescent="0.3">
      <c r="A32" s="15"/>
      <c r="B32" s="30" t="s">
        <v>12</v>
      </c>
      <c r="C32" s="31"/>
      <c r="D32" s="32"/>
      <c r="E32" s="33">
        <v>0</v>
      </c>
      <c r="F32" s="33">
        <v>0</v>
      </c>
      <c r="G32" s="72">
        <v>0</v>
      </c>
      <c r="H32" s="33">
        <v>0</v>
      </c>
      <c r="I32" s="33">
        <v>0</v>
      </c>
      <c r="J32" s="72">
        <v>0</v>
      </c>
      <c r="K32" s="33">
        <v>0</v>
      </c>
      <c r="L32" s="33">
        <v>0</v>
      </c>
      <c r="M32" s="72">
        <v>0</v>
      </c>
      <c r="N32" s="33">
        <v>0</v>
      </c>
      <c r="O32" s="33">
        <v>0</v>
      </c>
      <c r="P32" s="72">
        <v>0</v>
      </c>
      <c r="Q32" s="33">
        <v>0</v>
      </c>
      <c r="R32" s="33">
        <v>0</v>
      </c>
      <c r="S32" s="72">
        <v>0</v>
      </c>
      <c r="T32" s="33">
        <v>0</v>
      </c>
      <c r="U32" s="33">
        <v>0</v>
      </c>
      <c r="V32" s="72">
        <v>0</v>
      </c>
      <c r="W32" s="33">
        <v>0</v>
      </c>
      <c r="X32" s="33">
        <v>0</v>
      </c>
      <c r="Y32" s="72">
        <v>0</v>
      </c>
      <c r="Z32" s="33">
        <v>0</v>
      </c>
      <c r="AA32" s="33">
        <v>0</v>
      </c>
      <c r="AB32" s="72">
        <v>0</v>
      </c>
      <c r="AC32" s="35">
        <f t="shared" ref="AC32:AC47" si="18">SUM(E32:AB32)</f>
        <v>0</v>
      </c>
      <c r="AD32" s="7">
        <v>0</v>
      </c>
    </row>
    <row r="33" spans="1:30" ht="14.25" customHeight="1" x14ac:dyDescent="0.3">
      <c r="A33" s="15"/>
      <c r="B33" s="36" t="s">
        <v>11</v>
      </c>
      <c r="C33" s="37"/>
      <c r="D33" s="146">
        <v>0</v>
      </c>
      <c r="E33" s="39">
        <f t="shared" ref="E33:AB33" si="19">E32*$D$33</f>
        <v>0</v>
      </c>
      <c r="F33" s="39">
        <f t="shared" si="19"/>
        <v>0</v>
      </c>
      <c r="G33" s="73">
        <f t="shared" si="19"/>
        <v>0</v>
      </c>
      <c r="H33" s="39">
        <f t="shared" si="19"/>
        <v>0</v>
      </c>
      <c r="I33" s="39">
        <f t="shared" si="19"/>
        <v>0</v>
      </c>
      <c r="J33" s="73">
        <f t="shared" si="19"/>
        <v>0</v>
      </c>
      <c r="K33" s="39">
        <f t="shared" si="19"/>
        <v>0</v>
      </c>
      <c r="L33" s="39">
        <f t="shared" si="19"/>
        <v>0</v>
      </c>
      <c r="M33" s="73">
        <f t="shared" si="19"/>
        <v>0</v>
      </c>
      <c r="N33" s="39">
        <f t="shared" si="19"/>
        <v>0</v>
      </c>
      <c r="O33" s="39">
        <f t="shared" si="19"/>
        <v>0</v>
      </c>
      <c r="P33" s="73">
        <f t="shared" si="19"/>
        <v>0</v>
      </c>
      <c r="Q33" s="39">
        <f t="shared" si="19"/>
        <v>0</v>
      </c>
      <c r="R33" s="39">
        <f t="shared" si="19"/>
        <v>0</v>
      </c>
      <c r="S33" s="73">
        <f t="shared" si="19"/>
        <v>0</v>
      </c>
      <c r="T33" s="39">
        <f t="shared" si="19"/>
        <v>0</v>
      </c>
      <c r="U33" s="39">
        <f t="shared" si="19"/>
        <v>0</v>
      </c>
      <c r="V33" s="73">
        <f t="shared" si="19"/>
        <v>0</v>
      </c>
      <c r="W33" s="39">
        <f t="shared" si="19"/>
        <v>0</v>
      </c>
      <c r="X33" s="39">
        <f t="shared" si="19"/>
        <v>0</v>
      </c>
      <c r="Y33" s="73">
        <f t="shared" si="19"/>
        <v>0</v>
      </c>
      <c r="Z33" s="39">
        <f t="shared" si="19"/>
        <v>0</v>
      </c>
      <c r="AA33" s="39">
        <f t="shared" si="19"/>
        <v>0</v>
      </c>
      <c r="AB33" s="73">
        <f t="shared" si="19"/>
        <v>0</v>
      </c>
      <c r="AC33" s="41">
        <f t="shared" si="18"/>
        <v>0</v>
      </c>
      <c r="AD33" s="7"/>
    </row>
    <row r="34" spans="1:30" ht="14.25" customHeight="1" x14ac:dyDescent="0.3">
      <c r="A34" s="15"/>
      <c r="B34" s="46" t="s">
        <v>13</v>
      </c>
      <c r="C34" s="42"/>
      <c r="D34" s="43"/>
      <c r="E34" s="44">
        <v>0</v>
      </c>
      <c r="F34" s="44">
        <v>0</v>
      </c>
      <c r="G34" s="74">
        <v>0</v>
      </c>
      <c r="H34" s="44">
        <v>0</v>
      </c>
      <c r="I34" s="44">
        <v>0</v>
      </c>
      <c r="J34" s="74">
        <v>0</v>
      </c>
      <c r="K34" s="44">
        <v>0</v>
      </c>
      <c r="L34" s="44">
        <v>0</v>
      </c>
      <c r="M34" s="74">
        <v>0</v>
      </c>
      <c r="N34" s="44">
        <v>0</v>
      </c>
      <c r="O34" s="44">
        <v>0</v>
      </c>
      <c r="P34" s="74">
        <v>0</v>
      </c>
      <c r="Q34" s="44">
        <v>0</v>
      </c>
      <c r="R34" s="44">
        <v>0</v>
      </c>
      <c r="S34" s="74">
        <v>0</v>
      </c>
      <c r="T34" s="44">
        <v>0</v>
      </c>
      <c r="U34" s="44">
        <v>0</v>
      </c>
      <c r="V34" s="74">
        <v>0</v>
      </c>
      <c r="W34" s="44">
        <v>0</v>
      </c>
      <c r="X34" s="44">
        <v>0</v>
      </c>
      <c r="Y34" s="74">
        <v>0</v>
      </c>
      <c r="Z34" s="44">
        <v>0</v>
      </c>
      <c r="AA34" s="44">
        <v>0</v>
      </c>
      <c r="AB34" s="74">
        <v>0</v>
      </c>
      <c r="AC34" s="35">
        <f t="shared" si="18"/>
        <v>0</v>
      </c>
      <c r="AD34" s="7">
        <v>0</v>
      </c>
    </row>
    <row r="35" spans="1:30" ht="14.25" customHeight="1" x14ac:dyDescent="0.3">
      <c r="A35" s="15"/>
      <c r="B35" s="36" t="s">
        <v>11</v>
      </c>
      <c r="C35" s="37"/>
      <c r="D35" s="146">
        <v>0</v>
      </c>
      <c r="E35" s="39">
        <f t="shared" ref="E35:AB35" si="20">E34*$D$35</f>
        <v>0</v>
      </c>
      <c r="F35" s="39">
        <f t="shared" si="20"/>
        <v>0</v>
      </c>
      <c r="G35" s="73">
        <f t="shared" si="20"/>
        <v>0</v>
      </c>
      <c r="H35" s="39">
        <f t="shared" si="20"/>
        <v>0</v>
      </c>
      <c r="I35" s="39">
        <f t="shared" si="20"/>
        <v>0</v>
      </c>
      <c r="J35" s="73">
        <f t="shared" si="20"/>
        <v>0</v>
      </c>
      <c r="K35" s="39">
        <f t="shared" si="20"/>
        <v>0</v>
      </c>
      <c r="L35" s="39">
        <f t="shared" si="20"/>
        <v>0</v>
      </c>
      <c r="M35" s="73">
        <f t="shared" si="20"/>
        <v>0</v>
      </c>
      <c r="N35" s="39">
        <f t="shared" si="20"/>
        <v>0</v>
      </c>
      <c r="O35" s="39">
        <f t="shared" si="20"/>
        <v>0</v>
      </c>
      <c r="P35" s="73">
        <f t="shared" si="20"/>
        <v>0</v>
      </c>
      <c r="Q35" s="39">
        <f t="shared" si="20"/>
        <v>0</v>
      </c>
      <c r="R35" s="39">
        <f t="shared" si="20"/>
        <v>0</v>
      </c>
      <c r="S35" s="73">
        <f t="shared" si="20"/>
        <v>0</v>
      </c>
      <c r="T35" s="39">
        <f t="shared" si="20"/>
        <v>0</v>
      </c>
      <c r="U35" s="39">
        <f t="shared" si="20"/>
        <v>0</v>
      </c>
      <c r="V35" s="73">
        <f t="shared" si="20"/>
        <v>0</v>
      </c>
      <c r="W35" s="39">
        <f t="shared" si="20"/>
        <v>0</v>
      </c>
      <c r="X35" s="39">
        <f t="shared" si="20"/>
        <v>0</v>
      </c>
      <c r="Y35" s="73">
        <f t="shared" si="20"/>
        <v>0</v>
      </c>
      <c r="Z35" s="39">
        <f t="shared" si="20"/>
        <v>0</v>
      </c>
      <c r="AA35" s="39">
        <f t="shared" si="20"/>
        <v>0</v>
      </c>
      <c r="AB35" s="73">
        <f t="shared" si="20"/>
        <v>0</v>
      </c>
      <c r="AC35" s="41">
        <f t="shared" si="18"/>
        <v>0</v>
      </c>
      <c r="AD35" s="7"/>
    </row>
    <row r="36" spans="1:30" ht="14.25" customHeight="1" x14ac:dyDescent="0.3">
      <c r="A36" s="15"/>
      <c r="B36" s="47" t="s">
        <v>25</v>
      </c>
      <c r="C36" s="42"/>
      <c r="D36" s="43"/>
      <c r="E36" s="44">
        <v>0</v>
      </c>
      <c r="F36" s="44">
        <v>0</v>
      </c>
      <c r="G36" s="74">
        <v>0</v>
      </c>
      <c r="H36" s="44">
        <v>0</v>
      </c>
      <c r="I36" s="44">
        <v>0</v>
      </c>
      <c r="J36" s="74">
        <v>0</v>
      </c>
      <c r="K36" s="44">
        <v>0</v>
      </c>
      <c r="L36" s="44">
        <v>0</v>
      </c>
      <c r="M36" s="74">
        <v>0</v>
      </c>
      <c r="N36" s="44">
        <v>0</v>
      </c>
      <c r="O36" s="44">
        <v>0</v>
      </c>
      <c r="P36" s="74">
        <v>0</v>
      </c>
      <c r="Q36" s="44">
        <v>0</v>
      </c>
      <c r="R36" s="44">
        <v>0</v>
      </c>
      <c r="S36" s="74">
        <v>0</v>
      </c>
      <c r="T36" s="44">
        <v>0</v>
      </c>
      <c r="U36" s="44">
        <v>0</v>
      </c>
      <c r="V36" s="74">
        <v>0</v>
      </c>
      <c r="W36" s="44">
        <v>0</v>
      </c>
      <c r="X36" s="44">
        <v>0</v>
      </c>
      <c r="Y36" s="74">
        <v>0</v>
      </c>
      <c r="Z36" s="44">
        <v>0</v>
      </c>
      <c r="AA36" s="44">
        <v>0</v>
      </c>
      <c r="AB36" s="74">
        <v>0</v>
      </c>
      <c r="AC36" s="35">
        <f t="shared" si="18"/>
        <v>0</v>
      </c>
      <c r="AD36" s="7">
        <v>0</v>
      </c>
    </row>
    <row r="37" spans="1:30" ht="14.25" customHeight="1" x14ac:dyDescent="0.3">
      <c r="A37" s="15"/>
      <c r="B37" s="36" t="s">
        <v>11</v>
      </c>
      <c r="C37" s="37"/>
      <c r="D37" s="146">
        <v>0</v>
      </c>
      <c r="E37" s="39">
        <f t="shared" ref="E37:AB37" si="21">E36*$D$37</f>
        <v>0</v>
      </c>
      <c r="F37" s="39">
        <f t="shared" si="21"/>
        <v>0</v>
      </c>
      <c r="G37" s="73">
        <f t="shared" si="21"/>
        <v>0</v>
      </c>
      <c r="H37" s="39">
        <f t="shared" si="21"/>
        <v>0</v>
      </c>
      <c r="I37" s="39">
        <f t="shared" si="21"/>
        <v>0</v>
      </c>
      <c r="J37" s="73">
        <f t="shared" si="21"/>
        <v>0</v>
      </c>
      <c r="K37" s="39">
        <f t="shared" si="21"/>
        <v>0</v>
      </c>
      <c r="L37" s="39">
        <f t="shared" si="21"/>
        <v>0</v>
      </c>
      <c r="M37" s="73">
        <f t="shared" si="21"/>
        <v>0</v>
      </c>
      <c r="N37" s="39">
        <f t="shared" si="21"/>
        <v>0</v>
      </c>
      <c r="O37" s="39">
        <f t="shared" si="21"/>
        <v>0</v>
      </c>
      <c r="P37" s="73">
        <f t="shared" si="21"/>
        <v>0</v>
      </c>
      <c r="Q37" s="39">
        <f t="shared" si="21"/>
        <v>0</v>
      </c>
      <c r="R37" s="39">
        <f t="shared" si="21"/>
        <v>0</v>
      </c>
      <c r="S37" s="73">
        <f t="shared" si="21"/>
        <v>0</v>
      </c>
      <c r="T37" s="39">
        <f t="shared" si="21"/>
        <v>0</v>
      </c>
      <c r="U37" s="39">
        <f t="shared" si="21"/>
        <v>0</v>
      </c>
      <c r="V37" s="73">
        <f t="shared" si="21"/>
        <v>0</v>
      </c>
      <c r="W37" s="39">
        <f t="shared" si="21"/>
        <v>0</v>
      </c>
      <c r="X37" s="39">
        <f t="shared" si="21"/>
        <v>0</v>
      </c>
      <c r="Y37" s="73">
        <f t="shared" si="21"/>
        <v>0</v>
      </c>
      <c r="Z37" s="39">
        <f t="shared" si="21"/>
        <v>0</v>
      </c>
      <c r="AA37" s="39">
        <f t="shared" si="21"/>
        <v>0</v>
      </c>
      <c r="AB37" s="73">
        <f t="shared" si="21"/>
        <v>0</v>
      </c>
      <c r="AC37" s="41">
        <f t="shared" si="18"/>
        <v>0</v>
      </c>
      <c r="AD37" s="7"/>
    </row>
    <row r="38" spans="1:30" ht="14.25" customHeight="1" x14ac:dyDescent="0.3">
      <c r="A38" s="15"/>
      <c r="B38" s="46" t="s">
        <v>19</v>
      </c>
      <c r="C38" s="42"/>
      <c r="D38" s="43"/>
      <c r="E38" s="44">
        <v>0</v>
      </c>
      <c r="F38" s="44">
        <v>0</v>
      </c>
      <c r="G38" s="74">
        <v>0</v>
      </c>
      <c r="H38" s="44">
        <v>0</v>
      </c>
      <c r="I38" s="44">
        <v>0</v>
      </c>
      <c r="J38" s="74">
        <v>0</v>
      </c>
      <c r="K38" s="44">
        <v>0</v>
      </c>
      <c r="L38" s="44">
        <v>0</v>
      </c>
      <c r="M38" s="74">
        <v>0</v>
      </c>
      <c r="N38" s="44">
        <v>0</v>
      </c>
      <c r="O38" s="44">
        <v>0</v>
      </c>
      <c r="P38" s="74">
        <v>0</v>
      </c>
      <c r="Q38" s="44">
        <v>0</v>
      </c>
      <c r="R38" s="44">
        <v>0</v>
      </c>
      <c r="S38" s="74">
        <v>0</v>
      </c>
      <c r="T38" s="44">
        <v>0</v>
      </c>
      <c r="U38" s="44">
        <v>0</v>
      </c>
      <c r="V38" s="74">
        <v>0</v>
      </c>
      <c r="W38" s="44">
        <v>0</v>
      </c>
      <c r="X38" s="44">
        <v>0</v>
      </c>
      <c r="Y38" s="74">
        <v>0</v>
      </c>
      <c r="Z38" s="44">
        <v>0</v>
      </c>
      <c r="AA38" s="44">
        <v>0</v>
      </c>
      <c r="AB38" s="74">
        <v>0</v>
      </c>
      <c r="AC38" s="35">
        <f t="shared" si="18"/>
        <v>0</v>
      </c>
      <c r="AD38" s="5">
        <v>0</v>
      </c>
    </row>
    <row r="39" spans="1:30" ht="14.25" customHeight="1" x14ac:dyDescent="0.3">
      <c r="A39" s="15"/>
      <c r="B39" s="36" t="s">
        <v>11</v>
      </c>
      <c r="C39" s="37"/>
      <c r="D39" s="146">
        <v>0</v>
      </c>
      <c r="E39" s="39">
        <f t="shared" ref="E39:AB39" si="22">E38*$D$39</f>
        <v>0</v>
      </c>
      <c r="F39" s="39">
        <f t="shared" si="22"/>
        <v>0</v>
      </c>
      <c r="G39" s="73">
        <f t="shared" si="22"/>
        <v>0</v>
      </c>
      <c r="H39" s="39">
        <f t="shared" si="22"/>
        <v>0</v>
      </c>
      <c r="I39" s="39">
        <f t="shared" si="22"/>
        <v>0</v>
      </c>
      <c r="J39" s="73">
        <f t="shared" si="22"/>
        <v>0</v>
      </c>
      <c r="K39" s="39">
        <f t="shared" si="22"/>
        <v>0</v>
      </c>
      <c r="L39" s="39">
        <f t="shared" si="22"/>
        <v>0</v>
      </c>
      <c r="M39" s="73">
        <f t="shared" si="22"/>
        <v>0</v>
      </c>
      <c r="N39" s="39">
        <f t="shared" si="22"/>
        <v>0</v>
      </c>
      <c r="O39" s="39">
        <f t="shared" si="22"/>
        <v>0</v>
      </c>
      <c r="P39" s="73">
        <f t="shared" si="22"/>
        <v>0</v>
      </c>
      <c r="Q39" s="39">
        <f t="shared" si="22"/>
        <v>0</v>
      </c>
      <c r="R39" s="39">
        <f t="shared" si="22"/>
        <v>0</v>
      </c>
      <c r="S39" s="73">
        <f t="shared" si="22"/>
        <v>0</v>
      </c>
      <c r="T39" s="39">
        <f t="shared" si="22"/>
        <v>0</v>
      </c>
      <c r="U39" s="39">
        <f t="shared" si="22"/>
        <v>0</v>
      </c>
      <c r="V39" s="73">
        <f t="shared" si="22"/>
        <v>0</v>
      </c>
      <c r="W39" s="39">
        <f t="shared" si="22"/>
        <v>0</v>
      </c>
      <c r="X39" s="39">
        <f t="shared" si="22"/>
        <v>0</v>
      </c>
      <c r="Y39" s="73">
        <f t="shared" si="22"/>
        <v>0</v>
      </c>
      <c r="Z39" s="39">
        <f t="shared" si="22"/>
        <v>0</v>
      </c>
      <c r="AA39" s="39">
        <f t="shared" si="22"/>
        <v>0</v>
      </c>
      <c r="AB39" s="73">
        <f t="shared" si="22"/>
        <v>0</v>
      </c>
      <c r="AC39" s="41">
        <f t="shared" si="18"/>
        <v>0</v>
      </c>
      <c r="AD39" s="5"/>
    </row>
    <row r="40" spans="1:30" ht="14.25" customHeight="1" x14ac:dyDescent="0.3">
      <c r="A40" s="15"/>
      <c r="B40" s="30" t="s">
        <v>10</v>
      </c>
      <c r="C40" s="42"/>
      <c r="D40" s="43"/>
      <c r="E40" s="44">
        <v>0</v>
      </c>
      <c r="F40" s="44">
        <v>0</v>
      </c>
      <c r="G40" s="74">
        <v>0</v>
      </c>
      <c r="H40" s="44">
        <v>0</v>
      </c>
      <c r="I40" s="44">
        <v>0</v>
      </c>
      <c r="J40" s="74">
        <v>0</v>
      </c>
      <c r="K40" s="44">
        <v>0</v>
      </c>
      <c r="L40" s="44">
        <v>0</v>
      </c>
      <c r="M40" s="74">
        <v>0</v>
      </c>
      <c r="N40" s="44">
        <v>0</v>
      </c>
      <c r="O40" s="44">
        <v>0</v>
      </c>
      <c r="P40" s="74">
        <v>0</v>
      </c>
      <c r="Q40" s="44">
        <v>0</v>
      </c>
      <c r="R40" s="44">
        <v>0</v>
      </c>
      <c r="S40" s="74">
        <v>0</v>
      </c>
      <c r="T40" s="44">
        <v>0</v>
      </c>
      <c r="U40" s="44">
        <v>0</v>
      </c>
      <c r="V40" s="74">
        <v>0</v>
      </c>
      <c r="W40" s="44">
        <v>0</v>
      </c>
      <c r="X40" s="44">
        <v>0</v>
      </c>
      <c r="Y40" s="74">
        <v>0</v>
      </c>
      <c r="Z40" s="44">
        <v>0</v>
      </c>
      <c r="AA40" s="44">
        <v>0</v>
      </c>
      <c r="AB40" s="74">
        <v>0</v>
      </c>
      <c r="AC40" s="35">
        <f t="shared" si="18"/>
        <v>0</v>
      </c>
      <c r="AD40" s="7">
        <v>0</v>
      </c>
    </row>
    <row r="41" spans="1:30" ht="14.25" customHeight="1" x14ac:dyDescent="0.3">
      <c r="A41" s="15"/>
      <c r="B41" s="36" t="s">
        <v>11</v>
      </c>
      <c r="C41" s="37"/>
      <c r="D41" s="146">
        <v>0</v>
      </c>
      <c r="E41" s="39">
        <f t="shared" ref="E41:AB41" si="23">E40*$D$41</f>
        <v>0</v>
      </c>
      <c r="F41" s="39">
        <f t="shared" si="23"/>
        <v>0</v>
      </c>
      <c r="G41" s="73">
        <f t="shared" si="23"/>
        <v>0</v>
      </c>
      <c r="H41" s="39">
        <f t="shared" si="23"/>
        <v>0</v>
      </c>
      <c r="I41" s="39">
        <f t="shared" si="23"/>
        <v>0</v>
      </c>
      <c r="J41" s="73">
        <f t="shared" si="23"/>
        <v>0</v>
      </c>
      <c r="K41" s="39">
        <f t="shared" si="23"/>
        <v>0</v>
      </c>
      <c r="L41" s="39">
        <f t="shared" si="23"/>
        <v>0</v>
      </c>
      <c r="M41" s="73">
        <f t="shared" si="23"/>
        <v>0</v>
      </c>
      <c r="N41" s="39">
        <f t="shared" si="23"/>
        <v>0</v>
      </c>
      <c r="O41" s="39">
        <f t="shared" si="23"/>
        <v>0</v>
      </c>
      <c r="P41" s="73">
        <f t="shared" si="23"/>
        <v>0</v>
      </c>
      <c r="Q41" s="39">
        <f t="shared" si="23"/>
        <v>0</v>
      </c>
      <c r="R41" s="39">
        <f t="shared" si="23"/>
        <v>0</v>
      </c>
      <c r="S41" s="73">
        <f t="shared" si="23"/>
        <v>0</v>
      </c>
      <c r="T41" s="39">
        <f t="shared" si="23"/>
        <v>0</v>
      </c>
      <c r="U41" s="39">
        <f t="shared" si="23"/>
        <v>0</v>
      </c>
      <c r="V41" s="73">
        <f t="shared" si="23"/>
        <v>0</v>
      </c>
      <c r="W41" s="39">
        <f t="shared" si="23"/>
        <v>0</v>
      </c>
      <c r="X41" s="39">
        <f t="shared" si="23"/>
        <v>0</v>
      </c>
      <c r="Y41" s="73">
        <f t="shared" si="23"/>
        <v>0</v>
      </c>
      <c r="Z41" s="39">
        <f t="shared" si="23"/>
        <v>0</v>
      </c>
      <c r="AA41" s="39">
        <f t="shared" si="23"/>
        <v>0</v>
      </c>
      <c r="AB41" s="73">
        <f t="shared" si="23"/>
        <v>0</v>
      </c>
      <c r="AC41" s="41">
        <f t="shared" si="18"/>
        <v>0</v>
      </c>
      <c r="AD41" s="7"/>
    </row>
    <row r="42" spans="1:30" ht="14.25" customHeight="1" x14ac:dyDescent="0.3">
      <c r="A42" s="15"/>
      <c r="B42" s="46" t="s">
        <v>26</v>
      </c>
      <c r="C42" s="42"/>
      <c r="D42" s="43"/>
      <c r="E42" s="44">
        <v>0</v>
      </c>
      <c r="F42" s="44">
        <v>0</v>
      </c>
      <c r="G42" s="74">
        <v>0</v>
      </c>
      <c r="H42" s="44">
        <v>0</v>
      </c>
      <c r="I42" s="44">
        <v>0</v>
      </c>
      <c r="J42" s="74">
        <v>0</v>
      </c>
      <c r="K42" s="44">
        <v>0</v>
      </c>
      <c r="L42" s="44">
        <v>0</v>
      </c>
      <c r="M42" s="74">
        <v>0</v>
      </c>
      <c r="N42" s="44">
        <v>0</v>
      </c>
      <c r="O42" s="44">
        <v>0</v>
      </c>
      <c r="P42" s="74">
        <v>0</v>
      </c>
      <c r="Q42" s="44">
        <v>0</v>
      </c>
      <c r="R42" s="44">
        <v>0</v>
      </c>
      <c r="S42" s="74">
        <v>0</v>
      </c>
      <c r="T42" s="44">
        <v>0</v>
      </c>
      <c r="U42" s="44">
        <v>0</v>
      </c>
      <c r="V42" s="74">
        <v>0</v>
      </c>
      <c r="W42" s="44">
        <v>0</v>
      </c>
      <c r="X42" s="44">
        <v>0</v>
      </c>
      <c r="Y42" s="74">
        <v>0</v>
      </c>
      <c r="Z42" s="44">
        <v>0</v>
      </c>
      <c r="AA42" s="44">
        <v>0</v>
      </c>
      <c r="AB42" s="74">
        <v>0</v>
      </c>
      <c r="AC42" s="35">
        <f t="shared" si="18"/>
        <v>0</v>
      </c>
      <c r="AD42" s="7">
        <v>0</v>
      </c>
    </row>
    <row r="43" spans="1:30" ht="14.25" customHeight="1" x14ac:dyDescent="0.3">
      <c r="A43" s="15"/>
      <c r="B43" s="36" t="s">
        <v>11</v>
      </c>
      <c r="C43" s="37"/>
      <c r="D43" s="146">
        <v>0</v>
      </c>
      <c r="E43" s="39">
        <f t="shared" ref="E43:AB43" si="24">E42*$D$43</f>
        <v>0</v>
      </c>
      <c r="F43" s="39">
        <f t="shared" si="24"/>
        <v>0</v>
      </c>
      <c r="G43" s="73">
        <f t="shared" si="24"/>
        <v>0</v>
      </c>
      <c r="H43" s="39">
        <f t="shared" si="24"/>
        <v>0</v>
      </c>
      <c r="I43" s="39">
        <f t="shared" si="24"/>
        <v>0</v>
      </c>
      <c r="J43" s="73">
        <f t="shared" si="24"/>
        <v>0</v>
      </c>
      <c r="K43" s="39">
        <f t="shared" si="24"/>
        <v>0</v>
      </c>
      <c r="L43" s="39">
        <f t="shared" si="24"/>
        <v>0</v>
      </c>
      <c r="M43" s="73">
        <f t="shared" si="24"/>
        <v>0</v>
      </c>
      <c r="N43" s="39">
        <f t="shared" si="24"/>
        <v>0</v>
      </c>
      <c r="O43" s="39">
        <f t="shared" si="24"/>
        <v>0</v>
      </c>
      <c r="P43" s="73">
        <f t="shared" si="24"/>
        <v>0</v>
      </c>
      <c r="Q43" s="39">
        <f t="shared" si="24"/>
        <v>0</v>
      </c>
      <c r="R43" s="39">
        <f t="shared" si="24"/>
        <v>0</v>
      </c>
      <c r="S43" s="73">
        <f t="shared" si="24"/>
        <v>0</v>
      </c>
      <c r="T43" s="39">
        <f t="shared" si="24"/>
        <v>0</v>
      </c>
      <c r="U43" s="39">
        <f t="shared" si="24"/>
        <v>0</v>
      </c>
      <c r="V43" s="73">
        <f t="shared" si="24"/>
        <v>0</v>
      </c>
      <c r="W43" s="39">
        <f t="shared" si="24"/>
        <v>0</v>
      </c>
      <c r="X43" s="39">
        <f t="shared" si="24"/>
        <v>0</v>
      </c>
      <c r="Y43" s="73">
        <f t="shared" si="24"/>
        <v>0</v>
      </c>
      <c r="Z43" s="39">
        <f t="shared" si="24"/>
        <v>0</v>
      </c>
      <c r="AA43" s="39">
        <f t="shared" si="24"/>
        <v>0</v>
      </c>
      <c r="AB43" s="73">
        <f t="shared" si="24"/>
        <v>0</v>
      </c>
      <c r="AC43" s="41">
        <f t="shared" si="18"/>
        <v>0</v>
      </c>
      <c r="AD43" s="7"/>
    </row>
    <row r="44" spans="1:30" ht="14.25" customHeight="1" x14ac:dyDescent="0.3">
      <c r="A44" s="15"/>
      <c r="B44" s="46" t="s">
        <v>26</v>
      </c>
      <c r="C44" s="42"/>
      <c r="D44" s="43"/>
      <c r="E44" s="44">
        <v>0</v>
      </c>
      <c r="F44" s="44">
        <v>0</v>
      </c>
      <c r="G44" s="74">
        <v>0</v>
      </c>
      <c r="H44" s="44">
        <v>0</v>
      </c>
      <c r="I44" s="44">
        <v>0</v>
      </c>
      <c r="J44" s="74">
        <v>0</v>
      </c>
      <c r="K44" s="44">
        <v>0</v>
      </c>
      <c r="L44" s="44">
        <v>0</v>
      </c>
      <c r="M44" s="74">
        <v>0</v>
      </c>
      <c r="N44" s="44">
        <v>0</v>
      </c>
      <c r="O44" s="44">
        <v>0</v>
      </c>
      <c r="P44" s="74">
        <v>0</v>
      </c>
      <c r="Q44" s="44">
        <v>0</v>
      </c>
      <c r="R44" s="44">
        <v>0</v>
      </c>
      <c r="S44" s="74">
        <v>0</v>
      </c>
      <c r="T44" s="44">
        <v>0</v>
      </c>
      <c r="U44" s="44">
        <v>0</v>
      </c>
      <c r="V44" s="74">
        <v>0</v>
      </c>
      <c r="W44" s="44">
        <v>0</v>
      </c>
      <c r="X44" s="44">
        <v>0</v>
      </c>
      <c r="Y44" s="74">
        <v>0</v>
      </c>
      <c r="Z44" s="44">
        <v>0</v>
      </c>
      <c r="AA44" s="44">
        <v>0</v>
      </c>
      <c r="AB44" s="74">
        <v>0</v>
      </c>
      <c r="AC44" s="35">
        <f t="shared" si="18"/>
        <v>0</v>
      </c>
      <c r="AD44" s="7">
        <v>0</v>
      </c>
    </row>
    <row r="45" spans="1:30" ht="14.25" customHeight="1" x14ac:dyDescent="0.3">
      <c r="A45" s="15"/>
      <c r="B45" s="36" t="s">
        <v>11</v>
      </c>
      <c r="C45" s="37"/>
      <c r="D45" s="146">
        <v>0</v>
      </c>
      <c r="E45" s="39">
        <f t="shared" ref="E45:AB45" si="25">E44*$D$45</f>
        <v>0</v>
      </c>
      <c r="F45" s="39">
        <f t="shared" si="25"/>
        <v>0</v>
      </c>
      <c r="G45" s="73">
        <f t="shared" si="25"/>
        <v>0</v>
      </c>
      <c r="H45" s="39">
        <f t="shared" si="25"/>
        <v>0</v>
      </c>
      <c r="I45" s="39">
        <f t="shared" si="25"/>
        <v>0</v>
      </c>
      <c r="J45" s="73">
        <f t="shared" si="25"/>
        <v>0</v>
      </c>
      <c r="K45" s="39">
        <f t="shared" si="25"/>
        <v>0</v>
      </c>
      <c r="L45" s="39">
        <f t="shared" si="25"/>
        <v>0</v>
      </c>
      <c r="M45" s="73">
        <f t="shared" si="25"/>
        <v>0</v>
      </c>
      <c r="N45" s="39">
        <f t="shared" si="25"/>
        <v>0</v>
      </c>
      <c r="O45" s="39">
        <f t="shared" si="25"/>
        <v>0</v>
      </c>
      <c r="P45" s="73">
        <f t="shared" si="25"/>
        <v>0</v>
      </c>
      <c r="Q45" s="39">
        <f t="shared" si="25"/>
        <v>0</v>
      </c>
      <c r="R45" s="39">
        <f t="shared" si="25"/>
        <v>0</v>
      </c>
      <c r="S45" s="73">
        <f t="shared" si="25"/>
        <v>0</v>
      </c>
      <c r="T45" s="39">
        <f t="shared" si="25"/>
        <v>0</v>
      </c>
      <c r="U45" s="39">
        <f t="shared" si="25"/>
        <v>0</v>
      </c>
      <c r="V45" s="73">
        <f t="shared" si="25"/>
        <v>0</v>
      </c>
      <c r="W45" s="39">
        <f t="shared" si="25"/>
        <v>0</v>
      </c>
      <c r="X45" s="39">
        <f t="shared" si="25"/>
        <v>0</v>
      </c>
      <c r="Y45" s="73">
        <f t="shared" si="25"/>
        <v>0</v>
      </c>
      <c r="Z45" s="39">
        <f t="shared" si="25"/>
        <v>0</v>
      </c>
      <c r="AA45" s="39">
        <f t="shared" si="25"/>
        <v>0</v>
      </c>
      <c r="AB45" s="73">
        <f t="shared" si="25"/>
        <v>0</v>
      </c>
      <c r="AC45" s="41">
        <f t="shared" si="18"/>
        <v>0</v>
      </c>
      <c r="AD45" s="7"/>
    </row>
    <row r="46" spans="1:30" ht="14.25" customHeight="1" x14ac:dyDescent="0.3">
      <c r="A46" s="15"/>
      <c r="B46" s="52" t="s">
        <v>21</v>
      </c>
      <c r="C46" s="53"/>
      <c r="D46" s="53"/>
      <c r="E46" s="75">
        <f t="shared" ref="E46:AB46" si="26">E32+E34+E36+E38+E40+E42+E44</f>
        <v>0</v>
      </c>
      <c r="F46" s="75">
        <f t="shared" si="26"/>
        <v>0</v>
      </c>
      <c r="G46" s="75">
        <f t="shared" si="26"/>
        <v>0</v>
      </c>
      <c r="H46" s="75">
        <f t="shared" si="26"/>
        <v>0</v>
      </c>
      <c r="I46" s="75">
        <f t="shared" si="26"/>
        <v>0</v>
      </c>
      <c r="J46" s="75">
        <f t="shared" si="26"/>
        <v>0</v>
      </c>
      <c r="K46" s="75">
        <f t="shared" si="26"/>
        <v>0</v>
      </c>
      <c r="L46" s="75">
        <f t="shared" si="26"/>
        <v>0</v>
      </c>
      <c r="M46" s="75">
        <f t="shared" si="26"/>
        <v>0</v>
      </c>
      <c r="N46" s="75">
        <f t="shared" si="26"/>
        <v>0</v>
      </c>
      <c r="O46" s="75">
        <f t="shared" si="26"/>
        <v>0</v>
      </c>
      <c r="P46" s="75">
        <f t="shared" si="26"/>
        <v>0</v>
      </c>
      <c r="Q46" s="75">
        <f t="shared" si="26"/>
        <v>0</v>
      </c>
      <c r="R46" s="75">
        <f t="shared" si="26"/>
        <v>0</v>
      </c>
      <c r="S46" s="75">
        <f t="shared" si="26"/>
        <v>0</v>
      </c>
      <c r="T46" s="75">
        <f t="shared" si="26"/>
        <v>0</v>
      </c>
      <c r="U46" s="75">
        <f t="shared" si="26"/>
        <v>0</v>
      </c>
      <c r="V46" s="75">
        <f t="shared" si="26"/>
        <v>0</v>
      </c>
      <c r="W46" s="75">
        <f t="shared" si="26"/>
        <v>0</v>
      </c>
      <c r="X46" s="75">
        <f t="shared" si="26"/>
        <v>0</v>
      </c>
      <c r="Y46" s="75">
        <f t="shared" si="26"/>
        <v>0</v>
      </c>
      <c r="Z46" s="75">
        <f t="shared" si="26"/>
        <v>0</v>
      </c>
      <c r="AA46" s="75">
        <f t="shared" si="26"/>
        <v>0</v>
      </c>
      <c r="AB46" s="75">
        <f t="shared" si="26"/>
        <v>0</v>
      </c>
      <c r="AC46" s="75">
        <f t="shared" si="18"/>
        <v>0</v>
      </c>
      <c r="AD46" s="10" t="s">
        <v>4</v>
      </c>
    </row>
    <row r="47" spans="1:30" ht="14.25" customHeight="1" x14ac:dyDescent="0.3">
      <c r="A47" s="15"/>
      <c r="B47" s="55" t="s">
        <v>23</v>
      </c>
      <c r="C47" s="56"/>
      <c r="D47" s="56"/>
      <c r="E47" s="76">
        <f t="shared" ref="E47:AB47" si="27">E33+E35+E37+E39+E41+E43+E45</f>
        <v>0</v>
      </c>
      <c r="F47" s="76">
        <f t="shared" si="27"/>
        <v>0</v>
      </c>
      <c r="G47" s="77">
        <f t="shared" si="27"/>
        <v>0</v>
      </c>
      <c r="H47" s="76">
        <f t="shared" si="27"/>
        <v>0</v>
      </c>
      <c r="I47" s="76">
        <f t="shared" si="27"/>
        <v>0</v>
      </c>
      <c r="J47" s="77">
        <f t="shared" si="27"/>
        <v>0</v>
      </c>
      <c r="K47" s="76">
        <f t="shared" si="27"/>
        <v>0</v>
      </c>
      <c r="L47" s="76">
        <f t="shared" si="27"/>
        <v>0</v>
      </c>
      <c r="M47" s="77">
        <f t="shared" si="27"/>
        <v>0</v>
      </c>
      <c r="N47" s="76">
        <f t="shared" si="27"/>
        <v>0</v>
      </c>
      <c r="O47" s="76">
        <f t="shared" si="27"/>
        <v>0</v>
      </c>
      <c r="P47" s="77">
        <f t="shared" si="27"/>
        <v>0</v>
      </c>
      <c r="Q47" s="76">
        <f t="shared" si="27"/>
        <v>0</v>
      </c>
      <c r="R47" s="76">
        <f t="shared" si="27"/>
        <v>0</v>
      </c>
      <c r="S47" s="77">
        <f t="shared" si="27"/>
        <v>0</v>
      </c>
      <c r="T47" s="76">
        <f t="shared" si="27"/>
        <v>0</v>
      </c>
      <c r="U47" s="76">
        <f t="shared" si="27"/>
        <v>0</v>
      </c>
      <c r="V47" s="77">
        <f t="shared" si="27"/>
        <v>0</v>
      </c>
      <c r="W47" s="76">
        <f t="shared" si="27"/>
        <v>0</v>
      </c>
      <c r="X47" s="76">
        <f t="shared" si="27"/>
        <v>0</v>
      </c>
      <c r="Y47" s="77">
        <f t="shared" si="27"/>
        <v>0</v>
      </c>
      <c r="Z47" s="76">
        <f t="shared" si="27"/>
        <v>0</v>
      </c>
      <c r="AA47" s="76">
        <f t="shared" si="27"/>
        <v>0</v>
      </c>
      <c r="AB47" s="77">
        <f t="shared" si="27"/>
        <v>0</v>
      </c>
      <c r="AC47" s="76">
        <f t="shared" si="18"/>
        <v>0</v>
      </c>
      <c r="AD47" s="10"/>
    </row>
    <row r="48" spans="1:30" ht="14.25" customHeight="1" x14ac:dyDescent="0.3">
      <c r="A48" s="15"/>
      <c r="B48" s="59" t="s">
        <v>22</v>
      </c>
      <c r="C48" s="60"/>
      <c r="D48" s="60"/>
      <c r="E48" s="78">
        <f t="shared" ref="E48:AC48" si="28">E46+E47</f>
        <v>0</v>
      </c>
      <c r="F48" s="78">
        <f t="shared" si="28"/>
        <v>0</v>
      </c>
      <c r="G48" s="79">
        <f t="shared" si="28"/>
        <v>0</v>
      </c>
      <c r="H48" s="78">
        <f t="shared" si="28"/>
        <v>0</v>
      </c>
      <c r="I48" s="78">
        <f t="shared" si="28"/>
        <v>0</v>
      </c>
      <c r="J48" s="79">
        <f t="shared" si="28"/>
        <v>0</v>
      </c>
      <c r="K48" s="78">
        <f t="shared" si="28"/>
        <v>0</v>
      </c>
      <c r="L48" s="78">
        <f t="shared" si="28"/>
        <v>0</v>
      </c>
      <c r="M48" s="79">
        <f t="shared" si="28"/>
        <v>0</v>
      </c>
      <c r="N48" s="78">
        <f t="shared" si="28"/>
        <v>0</v>
      </c>
      <c r="O48" s="78">
        <f t="shared" si="28"/>
        <v>0</v>
      </c>
      <c r="P48" s="79">
        <f t="shared" si="28"/>
        <v>0</v>
      </c>
      <c r="Q48" s="78">
        <f t="shared" si="28"/>
        <v>0</v>
      </c>
      <c r="R48" s="78">
        <f t="shared" si="28"/>
        <v>0</v>
      </c>
      <c r="S48" s="79">
        <f t="shared" si="28"/>
        <v>0</v>
      </c>
      <c r="T48" s="78">
        <f t="shared" si="28"/>
        <v>0</v>
      </c>
      <c r="U48" s="78">
        <f t="shared" si="28"/>
        <v>0</v>
      </c>
      <c r="V48" s="79">
        <f t="shared" si="28"/>
        <v>0</v>
      </c>
      <c r="W48" s="78">
        <f t="shared" si="28"/>
        <v>0</v>
      </c>
      <c r="X48" s="78">
        <f t="shared" si="28"/>
        <v>0</v>
      </c>
      <c r="Y48" s="79">
        <f t="shared" si="28"/>
        <v>0</v>
      </c>
      <c r="Z48" s="78">
        <f t="shared" si="28"/>
        <v>0</v>
      </c>
      <c r="AA48" s="78">
        <f t="shared" si="28"/>
        <v>0</v>
      </c>
      <c r="AB48" s="79">
        <f t="shared" si="28"/>
        <v>0</v>
      </c>
      <c r="AC48" s="78">
        <f t="shared" si="28"/>
        <v>0</v>
      </c>
      <c r="AD48" s="148">
        <f>AD32+AD34+AD36+AD38+AD40+AD42+AD44</f>
        <v>0</v>
      </c>
    </row>
    <row r="49" spans="1:30" ht="14.25" customHeight="1" x14ac:dyDescent="0.3">
      <c r="A49" s="15"/>
      <c r="B49" s="65"/>
      <c r="C49" s="82"/>
      <c r="D49" s="82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8"/>
      <c r="AD49" s="69"/>
    </row>
    <row r="50" spans="1:30" ht="14.25" customHeight="1" x14ac:dyDescent="0.3">
      <c r="A50" s="15"/>
      <c r="B50" s="83" t="s">
        <v>27</v>
      </c>
      <c r="C50" s="84"/>
      <c r="D50" s="84"/>
      <c r="E50" s="8" t="s">
        <v>28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28"/>
      <c r="AD50" s="29"/>
    </row>
    <row r="51" spans="1:30" ht="14.25" customHeight="1" x14ac:dyDescent="0.3">
      <c r="A51" s="15"/>
      <c r="B51" s="4" t="s">
        <v>29</v>
      </c>
      <c r="C51" s="4"/>
      <c r="D51" s="4"/>
      <c r="E51" s="85">
        <v>0</v>
      </c>
      <c r="F51" s="85">
        <v>0</v>
      </c>
      <c r="G51" s="86">
        <v>0</v>
      </c>
      <c r="H51" s="85">
        <v>0</v>
      </c>
      <c r="I51" s="85">
        <v>0</v>
      </c>
      <c r="J51" s="86">
        <v>0</v>
      </c>
      <c r="K51" s="85">
        <v>0</v>
      </c>
      <c r="L51" s="85">
        <v>0</v>
      </c>
      <c r="M51" s="86">
        <v>0</v>
      </c>
      <c r="N51" s="85">
        <v>0</v>
      </c>
      <c r="O51" s="85">
        <v>0</v>
      </c>
      <c r="P51" s="86">
        <v>0</v>
      </c>
      <c r="Q51" s="85">
        <v>0</v>
      </c>
      <c r="R51" s="85">
        <v>0</v>
      </c>
      <c r="S51" s="86">
        <v>0</v>
      </c>
      <c r="T51" s="85">
        <v>0</v>
      </c>
      <c r="U51" s="85">
        <v>0</v>
      </c>
      <c r="V51" s="86">
        <v>0</v>
      </c>
      <c r="W51" s="85">
        <v>0</v>
      </c>
      <c r="X51" s="85">
        <v>0</v>
      </c>
      <c r="Y51" s="86">
        <v>0</v>
      </c>
      <c r="Z51" s="85">
        <v>0</v>
      </c>
      <c r="AA51" s="85">
        <v>0</v>
      </c>
      <c r="AB51" s="86">
        <v>0</v>
      </c>
      <c r="AC51" s="87">
        <f>SUM(E51:AB51)</f>
        <v>0</v>
      </c>
      <c r="AD51" s="88">
        <v>0</v>
      </c>
    </row>
    <row r="52" spans="1:30" ht="14.25" customHeight="1" x14ac:dyDescent="0.3">
      <c r="A52" s="15"/>
      <c r="B52" s="3" t="s">
        <v>30</v>
      </c>
      <c r="C52" s="3"/>
      <c r="D52" s="3"/>
      <c r="E52" s="89">
        <v>0</v>
      </c>
      <c r="F52" s="89">
        <v>0</v>
      </c>
      <c r="G52" s="90">
        <v>0</v>
      </c>
      <c r="H52" s="89">
        <v>0</v>
      </c>
      <c r="I52" s="89">
        <v>0</v>
      </c>
      <c r="J52" s="90">
        <v>0</v>
      </c>
      <c r="K52" s="89">
        <v>0</v>
      </c>
      <c r="L52" s="89">
        <v>0</v>
      </c>
      <c r="M52" s="90">
        <v>0</v>
      </c>
      <c r="N52" s="89">
        <v>0</v>
      </c>
      <c r="O52" s="89">
        <v>0</v>
      </c>
      <c r="P52" s="90">
        <v>0</v>
      </c>
      <c r="Q52" s="89">
        <v>0</v>
      </c>
      <c r="R52" s="89">
        <v>0</v>
      </c>
      <c r="S52" s="90">
        <v>0</v>
      </c>
      <c r="T52" s="89">
        <v>0</v>
      </c>
      <c r="U52" s="89">
        <v>0</v>
      </c>
      <c r="V52" s="90">
        <v>0</v>
      </c>
      <c r="W52" s="89">
        <v>0</v>
      </c>
      <c r="X52" s="89">
        <v>0</v>
      </c>
      <c r="Y52" s="90">
        <v>0</v>
      </c>
      <c r="Z52" s="89">
        <v>0</v>
      </c>
      <c r="AA52" s="89">
        <v>0</v>
      </c>
      <c r="AB52" s="90">
        <v>0</v>
      </c>
      <c r="AC52" s="91">
        <f>SUM(E52:AB52)</f>
        <v>0</v>
      </c>
      <c r="AD52" s="88">
        <v>0</v>
      </c>
    </row>
    <row r="53" spans="1:30" ht="14.25" customHeight="1" x14ac:dyDescent="0.3">
      <c r="A53" s="15"/>
      <c r="B53" s="3" t="s">
        <v>31</v>
      </c>
      <c r="C53" s="3"/>
      <c r="D53" s="3"/>
      <c r="E53" s="89">
        <v>0</v>
      </c>
      <c r="F53" s="89">
        <v>0</v>
      </c>
      <c r="G53" s="90">
        <v>0</v>
      </c>
      <c r="H53" s="89">
        <v>0</v>
      </c>
      <c r="I53" s="89">
        <v>0</v>
      </c>
      <c r="J53" s="90">
        <v>0</v>
      </c>
      <c r="K53" s="89">
        <v>0</v>
      </c>
      <c r="L53" s="89">
        <v>0</v>
      </c>
      <c r="M53" s="90">
        <v>0</v>
      </c>
      <c r="N53" s="89">
        <v>0</v>
      </c>
      <c r="O53" s="89">
        <v>0</v>
      </c>
      <c r="P53" s="90">
        <v>0</v>
      </c>
      <c r="Q53" s="89">
        <v>0</v>
      </c>
      <c r="R53" s="89">
        <v>0</v>
      </c>
      <c r="S53" s="90">
        <v>0</v>
      </c>
      <c r="T53" s="89">
        <v>0</v>
      </c>
      <c r="U53" s="89">
        <v>0</v>
      </c>
      <c r="V53" s="90">
        <v>0</v>
      </c>
      <c r="W53" s="89">
        <v>0</v>
      </c>
      <c r="X53" s="89">
        <v>0</v>
      </c>
      <c r="Y53" s="90">
        <v>0</v>
      </c>
      <c r="Z53" s="89">
        <v>0</v>
      </c>
      <c r="AA53" s="89">
        <v>0</v>
      </c>
      <c r="AB53" s="90">
        <v>0</v>
      </c>
      <c r="AC53" s="91">
        <f>SUM(E53:AB53)</f>
        <v>0</v>
      </c>
      <c r="AD53" s="88">
        <v>0</v>
      </c>
    </row>
    <row r="54" spans="1:30" ht="14.25" customHeight="1" x14ac:dyDescent="0.3">
      <c r="A54" s="15"/>
      <c r="B54" s="3" t="s">
        <v>32</v>
      </c>
      <c r="C54" s="3"/>
      <c r="D54" s="3"/>
      <c r="E54" s="92">
        <v>0</v>
      </c>
      <c r="F54" s="92">
        <v>0</v>
      </c>
      <c r="G54" s="93">
        <v>0</v>
      </c>
      <c r="H54" s="92">
        <v>0</v>
      </c>
      <c r="I54" s="92">
        <v>0</v>
      </c>
      <c r="J54" s="93">
        <v>0</v>
      </c>
      <c r="K54" s="92">
        <v>0</v>
      </c>
      <c r="L54" s="92">
        <v>0</v>
      </c>
      <c r="M54" s="93">
        <v>0</v>
      </c>
      <c r="N54" s="92">
        <v>0</v>
      </c>
      <c r="O54" s="92">
        <v>0</v>
      </c>
      <c r="P54" s="93">
        <v>0</v>
      </c>
      <c r="Q54" s="92">
        <v>0</v>
      </c>
      <c r="R54" s="92">
        <v>0</v>
      </c>
      <c r="S54" s="93">
        <v>0</v>
      </c>
      <c r="T54" s="92">
        <v>0</v>
      </c>
      <c r="U54" s="92">
        <v>0</v>
      </c>
      <c r="V54" s="93">
        <v>0</v>
      </c>
      <c r="W54" s="92">
        <v>0</v>
      </c>
      <c r="X54" s="92">
        <v>0</v>
      </c>
      <c r="Y54" s="93">
        <v>0</v>
      </c>
      <c r="Z54" s="92">
        <v>0</v>
      </c>
      <c r="AA54" s="92">
        <v>0</v>
      </c>
      <c r="AB54" s="93">
        <v>0</v>
      </c>
      <c r="AC54" s="94">
        <f>SUM(E54:AB54)</f>
        <v>0</v>
      </c>
      <c r="AD54" s="88">
        <v>0</v>
      </c>
    </row>
    <row r="55" spans="1:30" ht="14.25" customHeight="1" x14ac:dyDescent="0.3">
      <c r="A55" s="15"/>
      <c r="B55" s="95" t="s">
        <v>33</v>
      </c>
      <c r="C55" s="96"/>
      <c r="D55" s="96"/>
      <c r="E55" s="97">
        <f t="shared" ref="E55:AB55" si="29">SUM(E51:E54)</f>
        <v>0</v>
      </c>
      <c r="F55" s="97">
        <f t="shared" si="29"/>
        <v>0</v>
      </c>
      <c r="G55" s="98">
        <f t="shared" si="29"/>
        <v>0</v>
      </c>
      <c r="H55" s="97">
        <f t="shared" si="29"/>
        <v>0</v>
      </c>
      <c r="I55" s="97">
        <f t="shared" si="29"/>
        <v>0</v>
      </c>
      <c r="J55" s="98">
        <f t="shared" si="29"/>
        <v>0</v>
      </c>
      <c r="K55" s="97">
        <f t="shared" si="29"/>
        <v>0</v>
      </c>
      <c r="L55" s="97">
        <f t="shared" si="29"/>
        <v>0</v>
      </c>
      <c r="M55" s="98">
        <f t="shared" si="29"/>
        <v>0</v>
      </c>
      <c r="N55" s="97">
        <f t="shared" si="29"/>
        <v>0</v>
      </c>
      <c r="O55" s="97">
        <f t="shared" si="29"/>
        <v>0</v>
      </c>
      <c r="P55" s="98">
        <f t="shared" si="29"/>
        <v>0</v>
      </c>
      <c r="Q55" s="97">
        <f t="shared" si="29"/>
        <v>0</v>
      </c>
      <c r="R55" s="97">
        <f t="shared" si="29"/>
        <v>0</v>
      </c>
      <c r="S55" s="98">
        <f t="shared" si="29"/>
        <v>0</v>
      </c>
      <c r="T55" s="97">
        <f t="shared" si="29"/>
        <v>0</v>
      </c>
      <c r="U55" s="97">
        <f t="shared" si="29"/>
        <v>0</v>
      </c>
      <c r="V55" s="98">
        <f t="shared" si="29"/>
        <v>0</v>
      </c>
      <c r="W55" s="97">
        <f t="shared" si="29"/>
        <v>0</v>
      </c>
      <c r="X55" s="97">
        <f t="shared" si="29"/>
        <v>0</v>
      </c>
      <c r="Y55" s="98">
        <f t="shared" si="29"/>
        <v>0</v>
      </c>
      <c r="Z55" s="97">
        <f t="shared" si="29"/>
        <v>0</v>
      </c>
      <c r="AA55" s="97">
        <f t="shared" si="29"/>
        <v>0</v>
      </c>
      <c r="AB55" s="98">
        <f t="shared" si="29"/>
        <v>0</v>
      </c>
      <c r="AC55" s="149">
        <f>SUM(E55:AB55)</f>
        <v>0</v>
      </c>
      <c r="AD55" s="148">
        <f>SUM(AD51:AD54)</f>
        <v>0</v>
      </c>
    </row>
    <row r="56" spans="1:30" ht="14.25" customHeight="1" x14ac:dyDescent="0.3">
      <c r="A56" s="15"/>
      <c r="B56" s="65"/>
      <c r="C56" s="100"/>
      <c r="D56" s="100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8"/>
      <c r="AD56" s="69"/>
    </row>
    <row r="57" spans="1:30" ht="14.25" customHeight="1" x14ac:dyDescent="0.3">
      <c r="A57" s="15"/>
      <c r="B57" s="2" t="s">
        <v>34</v>
      </c>
      <c r="C57" s="2"/>
      <c r="D57" s="2"/>
      <c r="E57" s="8" t="s">
        <v>28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28"/>
      <c r="AD57" s="29"/>
    </row>
    <row r="58" spans="1:30" ht="14.25" customHeight="1" x14ac:dyDescent="0.3">
      <c r="A58" s="15"/>
      <c r="B58" s="4" t="s">
        <v>70</v>
      </c>
      <c r="C58" s="4"/>
      <c r="D58" s="4"/>
      <c r="E58" s="85">
        <v>0</v>
      </c>
      <c r="F58" s="85">
        <v>0</v>
      </c>
      <c r="G58" s="86">
        <v>0</v>
      </c>
      <c r="H58" s="85">
        <v>0</v>
      </c>
      <c r="I58" s="85">
        <v>0</v>
      </c>
      <c r="J58" s="86">
        <v>0</v>
      </c>
      <c r="K58" s="85">
        <v>0</v>
      </c>
      <c r="L58" s="85">
        <v>0</v>
      </c>
      <c r="M58" s="86">
        <v>0</v>
      </c>
      <c r="N58" s="85">
        <v>0</v>
      </c>
      <c r="O58" s="85">
        <v>0</v>
      </c>
      <c r="P58" s="86">
        <v>0</v>
      </c>
      <c r="Q58" s="85">
        <v>0</v>
      </c>
      <c r="R58" s="85">
        <v>0</v>
      </c>
      <c r="S58" s="86">
        <v>0</v>
      </c>
      <c r="T58" s="85">
        <v>0</v>
      </c>
      <c r="U58" s="85">
        <v>0</v>
      </c>
      <c r="V58" s="86">
        <v>0</v>
      </c>
      <c r="W58" s="85">
        <v>0</v>
      </c>
      <c r="X58" s="85">
        <v>0</v>
      </c>
      <c r="Y58" s="86">
        <v>0</v>
      </c>
      <c r="Z58" s="85">
        <v>0</v>
      </c>
      <c r="AA58" s="85">
        <v>0</v>
      </c>
      <c r="AB58" s="86">
        <v>0</v>
      </c>
      <c r="AC58" s="87">
        <f>SUM(E58:AB58)</f>
        <v>0</v>
      </c>
      <c r="AD58" s="88">
        <v>0</v>
      </c>
    </row>
    <row r="59" spans="1:30" ht="14.25" customHeight="1" x14ac:dyDescent="0.3">
      <c r="A59" s="15"/>
      <c r="B59" s="3" t="s">
        <v>36</v>
      </c>
      <c r="C59" s="3"/>
      <c r="D59" s="3"/>
      <c r="E59" s="89">
        <v>0</v>
      </c>
      <c r="F59" s="89">
        <v>0</v>
      </c>
      <c r="G59" s="90">
        <v>0</v>
      </c>
      <c r="H59" s="89">
        <v>0</v>
      </c>
      <c r="I59" s="89">
        <v>0</v>
      </c>
      <c r="J59" s="90">
        <v>0</v>
      </c>
      <c r="K59" s="89">
        <v>0</v>
      </c>
      <c r="L59" s="89">
        <v>0</v>
      </c>
      <c r="M59" s="90">
        <v>0</v>
      </c>
      <c r="N59" s="89">
        <v>0</v>
      </c>
      <c r="O59" s="89">
        <v>0</v>
      </c>
      <c r="P59" s="90">
        <v>0</v>
      </c>
      <c r="Q59" s="89">
        <v>0</v>
      </c>
      <c r="R59" s="89">
        <v>0</v>
      </c>
      <c r="S59" s="90">
        <v>0</v>
      </c>
      <c r="T59" s="89">
        <v>0</v>
      </c>
      <c r="U59" s="89">
        <v>0</v>
      </c>
      <c r="V59" s="90">
        <v>0</v>
      </c>
      <c r="W59" s="89">
        <v>0</v>
      </c>
      <c r="X59" s="89">
        <v>0</v>
      </c>
      <c r="Y59" s="90">
        <v>0</v>
      </c>
      <c r="Z59" s="89">
        <v>0</v>
      </c>
      <c r="AA59" s="89">
        <v>0</v>
      </c>
      <c r="AB59" s="90">
        <v>0</v>
      </c>
      <c r="AC59" s="91">
        <f>SUM(E59:AB59)</f>
        <v>0</v>
      </c>
      <c r="AD59" s="88">
        <v>0</v>
      </c>
    </row>
    <row r="60" spans="1:30" ht="14.25" customHeight="1" x14ac:dyDescent="0.3">
      <c r="A60" s="15"/>
      <c r="B60" s="3" t="s">
        <v>37</v>
      </c>
      <c r="C60" s="3"/>
      <c r="D60" s="3"/>
      <c r="E60" s="89">
        <v>0</v>
      </c>
      <c r="F60" s="89">
        <v>0</v>
      </c>
      <c r="G60" s="90">
        <v>0</v>
      </c>
      <c r="H60" s="89">
        <v>0</v>
      </c>
      <c r="I60" s="89">
        <v>0</v>
      </c>
      <c r="J60" s="90">
        <v>0</v>
      </c>
      <c r="K60" s="89">
        <v>0</v>
      </c>
      <c r="L60" s="89">
        <v>0</v>
      </c>
      <c r="M60" s="90">
        <v>0</v>
      </c>
      <c r="N60" s="89">
        <v>0</v>
      </c>
      <c r="O60" s="89">
        <v>0</v>
      </c>
      <c r="P60" s="90">
        <v>0</v>
      </c>
      <c r="Q60" s="89">
        <v>0</v>
      </c>
      <c r="R60" s="89">
        <v>0</v>
      </c>
      <c r="S60" s="90">
        <v>0</v>
      </c>
      <c r="T60" s="89">
        <v>0</v>
      </c>
      <c r="U60" s="89">
        <v>0</v>
      </c>
      <c r="V60" s="90">
        <v>0</v>
      </c>
      <c r="W60" s="89">
        <v>0</v>
      </c>
      <c r="X60" s="89">
        <v>0</v>
      </c>
      <c r="Y60" s="90">
        <v>0</v>
      </c>
      <c r="Z60" s="89">
        <v>0</v>
      </c>
      <c r="AA60" s="89">
        <v>0</v>
      </c>
      <c r="AB60" s="90">
        <v>0</v>
      </c>
      <c r="AC60" s="91">
        <f>SUM(E60:AB60)</f>
        <v>0</v>
      </c>
      <c r="AD60" s="88">
        <v>0</v>
      </c>
    </row>
    <row r="61" spans="1:30" ht="14.25" customHeight="1" x14ac:dyDescent="0.3">
      <c r="A61" s="15"/>
      <c r="B61" s="3" t="s">
        <v>37</v>
      </c>
      <c r="C61" s="3"/>
      <c r="D61" s="3"/>
      <c r="E61" s="92">
        <v>0</v>
      </c>
      <c r="F61" s="92">
        <v>0</v>
      </c>
      <c r="G61" s="93">
        <v>0</v>
      </c>
      <c r="H61" s="92">
        <v>0</v>
      </c>
      <c r="I61" s="92">
        <v>0</v>
      </c>
      <c r="J61" s="93">
        <v>0</v>
      </c>
      <c r="K61" s="92">
        <v>0</v>
      </c>
      <c r="L61" s="92">
        <v>0</v>
      </c>
      <c r="M61" s="93">
        <v>0</v>
      </c>
      <c r="N61" s="92">
        <v>0</v>
      </c>
      <c r="O61" s="92">
        <v>0</v>
      </c>
      <c r="P61" s="93">
        <v>0</v>
      </c>
      <c r="Q61" s="92">
        <v>0</v>
      </c>
      <c r="R61" s="92">
        <v>0</v>
      </c>
      <c r="S61" s="93">
        <v>0</v>
      </c>
      <c r="T61" s="92">
        <v>0</v>
      </c>
      <c r="U61" s="92">
        <v>0</v>
      </c>
      <c r="V61" s="93">
        <v>0</v>
      </c>
      <c r="W61" s="92">
        <v>0</v>
      </c>
      <c r="X61" s="92">
        <v>0</v>
      </c>
      <c r="Y61" s="93">
        <v>0</v>
      </c>
      <c r="Z61" s="92">
        <v>0</v>
      </c>
      <c r="AA61" s="92">
        <v>0</v>
      </c>
      <c r="AB61" s="93">
        <v>0</v>
      </c>
      <c r="AC61" s="94">
        <f>SUM(E61:AB61)</f>
        <v>0</v>
      </c>
      <c r="AD61" s="88">
        <v>0</v>
      </c>
    </row>
    <row r="62" spans="1:30" ht="14.25" customHeight="1" x14ac:dyDescent="0.3">
      <c r="A62" s="15"/>
      <c r="B62" s="95" t="s">
        <v>33</v>
      </c>
      <c r="C62" s="96"/>
      <c r="D62" s="96"/>
      <c r="E62" s="97">
        <f t="shared" ref="E62:AB62" si="30">SUM(E58:E61)</f>
        <v>0</v>
      </c>
      <c r="F62" s="97">
        <f t="shared" si="30"/>
        <v>0</v>
      </c>
      <c r="G62" s="98">
        <f t="shared" si="30"/>
        <v>0</v>
      </c>
      <c r="H62" s="97">
        <f t="shared" si="30"/>
        <v>0</v>
      </c>
      <c r="I62" s="97">
        <f t="shared" si="30"/>
        <v>0</v>
      </c>
      <c r="J62" s="98">
        <f t="shared" si="30"/>
        <v>0</v>
      </c>
      <c r="K62" s="97">
        <f t="shared" si="30"/>
        <v>0</v>
      </c>
      <c r="L62" s="97">
        <f t="shared" si="30"/>
        <v>0</v>
      </c>
      <c r="M62" s="98">
        <f t="shared" si="30"/>
        <v>0</v>
      </c>
      <c r="N62" s="97">
        <f t="shared" si="30"/>
        <v>0</v>
      </c>
      <c r="O62" s="97">
        <f t="shared" si="30"/>
        <v>0</v>
      </c>
      <c r="P62" s="98">
        <f t="shared" si="30"/>
        <v>0</v>
      </c>
      <c r="Q62" s="97">
        <f t="shared" si="30"/>
        <v>0</v>
      </c>
      <c r="R62" s="97">
        <f t="shared" si="30"/>
        <v>0</v>
      </c>
      <c r="S62" s="98">
        <f t="shared" si="30"/>
        <v>0</v>
      </c>
      <c r="T62" s="97">
        <f t="shared" si="30"/>
        <v>0</v>
      </c>
      <c r="U62" s="97">
        <f t="shared" si="30"/>
        <v>0</v>
      </c>
      <c r="V62" s="98">
        <f t="shared" si="30"/>
        <v>0</v>
      </c>
      <c r="W62" s="97">
        <f t="shared" si="30"/>
        <v>0</v>
      </c>
      <c r="X62" s="97">
        <f t="shared" si="30"/>
        <v>0</v>
      </c>
      <c r="Y62" s="98">
        <f t="shared" si="30"/>
        <v>0</v>
      </c>
      <c r="Z62" s="97">
        <f t="shared" si="30"/>
        <v>0</v>
      </c>
      <c r="AA62" s="97">
        <f t="shared" si="30"/>
        <v>0</v>
      </c>
      <c r="AB62" s="98">
        <f t="shared" si="30"/>
        <v>0</v>
      </c>
      <c r="AC62" s="149">
        <f>SUM(E62:AB62)</f>
        <v>0</v>
      </c>
      <c r="AD62" s="148">
        <f>SUM(AD58:AD61)</f>
        <v>0</v>
      </c>
    </row>
    <row r="63" spans="1:30" ht="14.25" customHeight="1" x14ac:dyDescent="0.3">
      <c r="A63" s="15"/>
      <c r="B63" s="65"/>
      <c r="C63" s="100"/>
      <c r="D63" s="100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8"/>
      <c r="AD63" s="69"/>
    </row>
    <row r="64" spans="1:30" ht="14.25" customHeight="1" x14ac:dyDescent="0.3">
      <c r="A64" s="15"/>
      <c r="B64" s="1" t="s">
        <v>38</v>
      </c>
      <c r="C64" s="1"/>
      <c r="D64" s="1"/>
      <c r="E64" s="8" t="s">
        <v>28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28"/>
      <c r="AD64" s="29"/>
    </row>
    <row r="65" spans="1:30" ht="14.25" customHeight="1" x14ac:dyDescent="0.3">
      <c r="A65" s="15"/>
      <c r="B65" s="4" t="s">
        <v>39</v>
      </c>
      <c r="C65" s="4"/>
      <c r="D65" s="4"/>
      <c r="E65" s="85">
        <v>0</v>
      </c>
      <c r="F65" s="85">
        <v>0</v>
      </c>
      <c r="G65" s="86">
        <v>0</v>
      </c>
      <c r="H65" s="85">
        <v>0</v>
      </c>
      <c r="I65" s="85">
        <v>0</v>
      </c>
      <c r="J65" s="86">
        <v>0</v>
      </c>
      <c r="K65" s="85">
        <v>0</v>
      </c>
      <c r="L65" s="85">
        <v>0</v>
      </c>
      <c r="M65" s="86">
        <v>0</v>
      </c>
      <c r="N65" s="85">
        <v>0</v>
      </c>
      <c r="O65" s="85">
        <v>0</v>
      </c>
      <c r="P65" s="86">
        <v>0</v>
      </c>
      <c r="Q65" s="85">
        <v>0</v>
      </c>
      <c r="R65" s="85">
        <v>0</v>
      </c>
      <c r="S65" s="86">
        <v>0</v>
      </c>
      <c r="T65" s="85">
        <v>0</v>
      </c>
      <c r="U65" s="85">
        <v>0</v>
      </c>
      <c r="V65" s="86">
        <v>0</v>
      </c>
      <c r="W65" s="85">
        <v>0</v>
      </c>
      <c r="X65" s="85">
        <v>0</v>
      </c>
      <c r="Y65" s="86">
        <v>0</v>
      </c>
      <c r="Z65" s="85">
        <v>0</v>
      </c>
      <c r="AA65" s="85">
        <v>0</v>
      </c>
      <c r="AB65" s="86">
        <v>0</v>
      </c>
      <c r="AC65" s="87">
        <f>SUM(E65:AB65)</f>
        <v>0</v>
      </c>
      <c r="AD65" s="88">
        <v>0</v>
      </c>
    </row>
    <row r="66" spans="1:30" ht="14.25" customHeight="1" x14ac:dyDescent="0.3">
      <c r="A66" s="15"/>
      <c r="B66" s="3" t="s">
        <v>71</v>
      </c>
      <c r="C66" s="3"/>
      <c r="D66" s="3"/>
      <c r="E66" s="89">
        <v>0</v>
      </c>
      <c r="F66" s="89">
        <v>0</v>
      </c>
      <c r="G66" s="90">
        <v>0</v>
      </c>
      <c r="H66" s="89">
        <v>0</v>
      </c>
      <c r="I66" s="89">
        <v>0</v>
      </c>
      <c r="J66" s="90">
        <v>0</v>
      </c>
      <c r="K66" s="89">
        <v>0</v>
      </c>
      <c r="L66" s="89">
        <v>0</v>
      </c>
      <c r="M66" s="90">
        <v>0</v>
      </c>
      <c r="N66" s="89">
        <v>0</v>
      </c>
      <c r="O66" s="89">
        <v>0</v>
      </c>
      <c r="P66" s="90">
        <v>0</v>
      </c>
      <c r="Q66" s="89">
        <v>0</v>
      </c>
      <c r="R66" s="89">
        <v>0</v>
      </c>
      <c r="S66" s="90">
        <v>0</v>
      </c>
      <c r="T66" s="89">
        <v>0</v>
      </c>
      <c r="U66" s="89">
        <v>0</v>
      </c>
      <c r="V66" s="90">
        <v>0</v>
      </c>
      <c r="W66" s="89">
        <v>0</v>
      </c>
      <c r="X66" s="89">
        <v>0</v>
      </c>
      <c r="Y66" s="90">
        <v>0</v>
      </c>
      <c r="Z66" s="89">
        <v>0</v>
      </c>
      <c r="AA66" s="89">
        <v>0</v>
      </c>
      <c r="AB66" s="90">
        <v>0</v>
      </c>
      <c r="AC66" s="91">
        <f>SUM(E66:AB66)</f>
        <v>0</v>
      </c>
      <c r="AD66" s="88">
        <v>0</v>
      </c>
    </row>
    <row r="67" spans="1:30" ht="15" customHeight="1" x14ac:dyDescent="0.3">
      <c r="A67" s="24"/>
      <c r="B67" s="3" t="s">
        <v>41</v>
      </c>
      <c r="C67" s="3"/>
      <c r="D67" s="3"/>
      <c r="E67" s="89">
        <v>0</v>
      </c>
      <c r="F67" s="89">
        <v>0</v>
      </c>
      <c r="G67" s="90">
        <v>0</v>
      </c>
      <c r="H67" s="89">
        <v>0</v>
      </c>
      <c r="I67" s="89">
        <v>0</v>
      </c>
      <c r="J67" s="90">
        <v>0</v>
      </c>
      <c r="K67" s="89">
        <v>0</v>
      </c>
      <c r="L67" s="89">
        <v>0</v>
      </c>
      <c r="M67" s="90">
        <v>0</v>
      </c>
      <c r="N67" s="89">
        <v>0</v>
      </c>
      <c r="O67" s="89">
        <v>0</v>
      </c>
      <c r="P67" s="90">
        <v>0</v>
      </c>
      <c r="Q67" s="89">
        <v>0</v>
      </c>
      <c r="R67" s="89">
        <v>0</v>
      </c>
      <c r="S67" s="90">
        <v>0</v>
      </c>
      <c r="T67" s="89">
        <v>0</v>
      </c>
      <c r="U67" s="89">
        <v>0</v>
      </c>
      <c r="V67" s="90">
        <v>0</v>
      </c>
      <c r="W67" s="89">
        <v>0</v>
      </c>
      <c r="X67" s="89">
        <v>0</v>
      </c>
      <c r="Y67" s="90">
        <v>0</v>
      </c>
      <c r="Z67" s="89">
        <v>0</v>
      </c>
      <c r="AA67" s="89">
        <v>0</v>
      </c>
      <c r="AB67" s="90">
        <v>0</v>
      </c>
      <c r="AC67" s="91">
        <f>SUM(E67:AB67)</f>
        <v>0</v>
      </c>
      <c r="AD67" s="88">
        <v>0</v>
      </c>
    </row>
    <row r="68" spans="1:30" ht="14.25" customHeight="1" x14ac:dyDescent="0.3">
      <c r="A68" s="15"/>
      <c r="B68" s="95" t="s">
        <v>33</v>
      </c>
      <c r="C68" s="96"/>
      <c r="D68" s="96"/>
      <c r="E68" s="97">
        <f t="shared" ref="E68:AB68" si="31">SUM(E65:E67)</f>
        <v>0</v>
      </c>
      <c r="F68" s="97">
        <f t="shared" si="31"/>
        <v>0</v>
      </c>
      <c r="G68" s="98">
        <f t="shared" si="31"/>
        <v>0</v>
      </c>
      <c r="H68" s="97">
        <f t="shared" si="31"/>
        <v>0</v>
      </c>
      <c r="I68" s="97">
        <f t="shared" si="31"/>
        <v>0</v>
      </c>
      <c r="J68" s="98">
        <f t="shared" si="31"/>
        <v>0</v>
      </c>
      <c r="K68" s="97">
        <f t="shared" si="31"/>
        <v>0</v>
      </c>
      <c r="L68" s="97">
        <f t="shared" si="31"/>
        <v>0</v>
      </c>
      <c r="M68" s="98">
        <f t="shared" si="31"/>
        <v>0</v>
      </c>
      <c r="N68" s="97">
        <f t="shared" si="31"/>
        <v>0</v>
      </c>
      <c r="O68" s="97">
        <f t="shared" si="31"/>
        <v>0</v>
      </c>
      <c r="P68" s="98">
        <f t="shared" si="31"/>
        <v>0</v>
      </c>
      <c r="Q68" s="97">
        <f t="shared" si="31"/>
        <v>0</v>
      </c>
      <c r="R68" s="97">
        <f t="shared" si="31"/>
        <v>0</v>
      </c>
      <c r="S68" s="98">
        <f t="shared" si="31"/>
        <v>0</v>
      </c>
      <c r="T68" s="97">
        <f t="shared" si="31"/>
        <v>0</v>
      </c>
      <c r="U68" s="97">
        <f t="shared" si="31"/>
        <v>0</v>
      </c>
      <c r="V68" s="98">
        <f t="shared" si="31"/>
        <v>0</v>
      </c>
      <c r="W68" s="97">
        <f t="shared" si="31"/>
        <v>0</v>
      </c>
      <c r="X68" s="97">
        <f t="shared" si="31"/>
        <v>0</v>
      </c>
      <c r="Y68" s="98">
        <f t="shared" si="31"/>
        <v>0</v>
      </c>
      <c r="Z68" s="97">
        <f t="shared" si="31"/>
        <v>0</v>
      </c>
      <c r="AA68" s="97">
        <f t="shared" si="31"/>
        <v>0</v>
      </c>
      <c r="AB68" s="98">
        <f t="shared" si="31"/>
        <v>0</v>
      </c>
      <c r="AC68" s="149">
        <f>SUM(E68:AB68)</f>
        <v>0</v>
      </c>
      <c r="AD68" s="148">
        <f>SUM(AD65:AD67)</f>
        <v>0</v>
      </c>
    </row>
    <row r="69" spans="1:30" ht="14.25" customHeight="1" x14ac:dyDescent="0.3">
      <c r="A69" s="15"/>
      <c r="B69" s="65"/>
      <c r="C69" s="101"/>
      <c r="D69" s="101"/>
      <c r="E69" s="102"/>
      <c r="F69" s="102"/>
      <c r="G69" s="103"/>
      <c r="H69" s="102"/>
      <c r="I69" s="102"/>
      <c r="J69" s="103"/>
      <c r="K69" s="102"/>
      <c r="L69" s="102"/>
      <c r="M69" s="103"/>
      <c r="N69" s="102"/>
      <c r="O69" s="102"/>
      <c r="P69" s="103"/>
      <c r="Q69" s="102"/>
      <c r="R69" s="102"/>
      <c r="S69" s="103"/>
      <c r="T69" s="102"/>
      <c r="U69" s="102"/>
      <c r="V69" s="103"/>
      <c r="W69" s="102"/>
      <c r="X69" s="102"/>
      <c r="Y69" s="103"/>
      <c r="Z69" s="102"/>
      <c r="AA69" s="102"/>
      <c r="AB69" s="103"/>
      <c r="AC69" s="104"/>
      <c r="AD69" s="69"/>
    </row>
    <row r="70" spans="1:30" ht="14.25" customHeight="1" x14ac:dyDescent="0.3">
      <c r="A70" s="15"/>
      <c r="B70" s="105" t="s">
        <v>42</v>
      </c>
      <c r="C70" s="106"/>
      <c r="D70" s="106"/>
      <c r="E70" s="107">
        <f t="shared" ref="E70:AB70" si="32">E68+E62+E55+E46+E27</f>
        <v>6000</v>
      </c>
      <c r="F70" s="107">
        <f t="shared" si="32"/>
        <v>6000</v>
      </c>
      <c r="G70" s="107">
        <f t="shared" si="32"/>
        <v>6000</v>
      </c>
      <c r="H70" s="107">
        <f t="shared" si="32"/>
        <v>500</v>
      </c>
      <c r="I70" s="107">
        <f t="shared" si="32"/>
        <v>452.40000000000003</v>
      </c>
      <c r="J70" s="107">
        <f t="shared" si="32"/>
        <v>500</v>
      </c>
      <c r="K70" s="107">
        <f t="shared" si="32"/>
        <v>500</v>
      </c>
      <c r="L70" s="107">
        <f t="shared" si="32"/>
        <v>500</v>
      </c>
      <c r="M70" s="107">
        <f t="shared" si="32"/>
        <v>7500</v>
      </c>
      <c r="N70" s="107">
        <f t="shared" si="32"/>
        <v>1363.63</v>
      </c>
      <c r="O70" s="107">
        <f t="shared" si="32"/>
        <v>0</v>
      </c>
      <c r="P70" s="107">
        <f t="shared" si="32"/>
        <v>0</v>
      </c>
      <c r="Q70" s="107">
        <f t="shared" si="32"/>
        <v>5000</v>
      </c>
      <c r="R70" s="107">
        <f t="shared" si="32"/>
        <v>6750</v>
      </c>
      <c r="S70" s="107">
        <f t="shared" si="32"/>
        <v>6750</v>
      </c>
      <c r="T70" s="107">
        <f t="shared" si="32"/>
        <v>4000</v>
      </c>
      <c r="U70" s="107">
        <f t="shared" si="32"/>
        <v>4000</v>
      </c>
      <c r="V70" s="107">
        <f t="shared" si="32"/>
        <v>4000</v>
      </c>
      <c r="W70" s="107">
        <f t="shared" si="32"/>
        <v>4000</v>
      </c>
      <c r="X70" s="107">
        <f t="shared" si="32"/>
        <v>0</v>
      </c>
      <c r="Y70" s="107">
        <f t="shared" si="32"/>
        <v>0</v>
      </c>
      <c r="Z70" s="107">
        <f t="shared" si="32"/>
        <v>0</v>
      </c>
      <c r="AA70" s="107">
        <f t="shared" si="32"/>
        <v>0</v>
      </c>
      <c r="AB70" s="107">
        <f t="shared" si="32"/>
        <v>0</v>
      </c>
      <c r="AC70" s="108">
        <f>SUM(E70:AB70)</f>
        <v>63816.03</v>
      </c>
      <c r="AD70" s="159"/>
    </row>
    <row r="71" spans="1:30" ht="14.25" customHeight="1" x14ac:dyDescent="0.3">
      <c r="A71" s="15"/>
      <c r="B71" s="109" t="s">
        <v>44</v>
      </c>
      <c r="C71" s="110"/>
      <c r="D71" s="110"/>
      <c r="E71" s="111">
        <f t="shared" ref="E71:AB71" si="33">E47+E28</f>
        <v>0</v>
      </c>
      <c r="F71" s="111">
        <f t="shared" si="33"/>
        <v>0</v>
      </c>
      <c r="G71" s="111">
        <f t="shared" si="33"/>
        <v>0</v>
      </c>
      <c r="H71" s="111">
        <f t="shared" si="33"/>
        <v>0</v>
      </c>
      <c r="I71" s="111">
        <f t="shared" si="33"/>
        <v>0</v>
      </c>
      <c r="J71" s="111">
        <f t="shared" si="33"/>
        <v>0</v>
      </c>
      <c r="K71" s="111">
        <f t="shared" si="33"/>
        <v>0</v>
      </c>
      <c r="L71" s="111">
        <f t="shared" si="33"/>
        <v>0</v>
      </c>
      <c r="M71" s="111">
        <f t="shared" si="33"/>
        <v>0</v>
      </c>
      <c r="N71" s="111">
        <f t="shared" si="33"/>
        <v>0</v>
      </c>
      <c r="O71" s="111">
        <f t="shared" si="33"/>
        <v>0</v>
      </c>
      <c r="P71" s="111">
        <f t="shared" si="33"/>
        <v>0</v>
      </c>
      <c r="Q71" s="111">
        <f t="shared" si="33"/>
        <v>0</v>
      </c>
      <c r="R71" s="111">
        <f t="shared" si="33"/>
        <v>0</v>
      </c>
      <c r="S71" s="111">
        <f t="shared" si="33"/>
        <v>0</v>
      </c>
      <c r="T71" s="111">
        <f t="shared" si="33"/>
        <v>0</v>
      </c>
      <c r="U71" s="111">
        <f t="shared" si="33"/>
        <v>0</v>
      </c>
      <c r="V71" s="111">
        <f t="shared" si="33"/>
        <v>0</v>
      </c>
      <c r="W71" s="111">
        <f t="shared" si="33"/>
        <v>0</v>
      </c>
      <c r="X71" s="111">
        <f t="shared" si="33"/>
        <v>0</v>
      </c>
      <c r="Y71" s="111">
        <f t="shared" si="33"/>
        <v>0</v>
      </c>
      <c r="Z71" s="111">
        <f t="shared" si="33"/>
        <v>0</v>
      </c>
      <c r="AA71" s="111">
        <f t="shared" si="33"/>
        <v>0</v>
      </c>
      <c r="AB71" s="111">
        <f t="shared" si="33"/>
        <v>0</v>
      </c>
      <c r="AC71" s="112">
        <f>SUM(E71:AB71)</f>
        <v>0</v>
      </c>
      <c r="AD71" s="159"/>
    </row>
    <row r="72" spans="1:30" ht="14.25" customHeight="1" x14ac:dyDescent="0.3">
      <c r="A72" s="15"/>
      <c r="B72" s="109" t="s">
        <v>45</v>
      </c>
      <c r="C72" s="110"/>
      <c r="D72" s="110"/>
      <c r="E72" s="111">
        <f t="shared" ref="E72:AB72" si="34">E70+E71</f>
        <v>6000</v>
      </c>
      <c r="F72" s="111">
        <f t="shared" si="34"/>
        <v>6000</v>
      </c>
      <c r="G72" s="111">
        <f t="shared" si="34"/>
        <v>6000</v>
      </c>
      <c r="H72" s="111">
        <f t="shared" si="34"/>
        <v>500</v>
      </c>
      <c r="I72" s="111">
        <f t="shared" si="34"/>
        <v>452.40000000000003</v>
      </c>
      <c r="J72" s="111">
        <f t="shared" si="34"/>
        <v>500</v>
      </c>
      <c r="K72" s="111">
        <f t="shared" si="34"/>
        <v>500</v>
      </c>
      <c r="L72" s="111">
        <f t="shared" si="34"/>
        <v>500</v>
      </c>
      <c r="M72" s="111">
        <f t="shared" si="34"/>
        <v>7500</v>
      </c>
      <c r="N72" s="111">
        <f t="shared" si="34"/>
        <v>1363.63</v>
      </c>
      <c r="O72" s="111">
        <f t="shared" si="34"/>
        <v>0</v>
      </c>
      <c r="P72" s="111">
        <f t="shared" si="34"/>
        <v>0</v>
      </c>
      <c r="Q72" s="111">
        <f t="shared" si="34"/>
        <v>5000</v>
      </c>
      <c r="R72" s="111">
        <f t="shared" si="34"/>
        <v>6750</v>
      </c>
      <c r="S72" s="111">
        <f t="shared" si="34"/>
        <v>6750</v>
      </c>
      <c r="T72" s="111">
        <f t="shared" si="34"/>
        <v>4000</v>
      </c>
      <c r="U72" s="111">
        <f t="shared" si="34"/>
        <v>4000</v>
      </c>
      <c r="V72" s="111">
        <f t="shared" si="34"/>
        <v>4000</v>
      </c>
      <c r="W72" s="111">
        <f t="shared" si="34"/>
        <v>4000</v>
      </c>
      <c r="X72" s="111">
        <f t="shared" si="34"/>
        <v>0</v>
      </c>
      <c r="Y72" s="111">
        <f t="shared" si="34"/>
        <v>0</v>
      </c>
      <c r="Z72" s="111">
        <f t="shared" si="34"/>
        <v>0</v>
      </c>
      <c r="AA72" s="111">
        <f t="shared" si="34"/>
        <v>0</v>
      </c>
      <c r="AB72" s="111">
        <f t="shared" si="34"/>
        <v>0</v>
      </c>
      <c r="AC72" s="112">
        <f>SUM(E72:AB72)</f>
        <v>63816.03</v>
      </c>
      <c r="AD72" s="159"/>
    </row>
    <row r="73" spans="1:30" ht="14.25" customHeight="1" x14ac:dyDescent="0.3">
      <c r="A73" s="15"/>
      <c r="B73" s="114" t="s">
        <v>46</v>
      </c>
      <c r="C73" s="115"/>
      <c r="D73" s="115"/>
      <c r="E73" s="116">
        <f>E72</f>
        <v>6000</v>
      </c>
      <c r="F73" s="116">
        <f t="shared" ref="F73:AB73" si="35">E73+F72</f>
        <v>12000</v>
      </c>
      <c r="G73" s="116">
        <f t="shared" si="35"/>
        <v>18000</v>
      </c>
      <c r="H73" s="116">
        <f t="shared" si="35"/>
        <v>18500</v>
      </c>
      <c r="I73" s="116">
        <f t="shared" si="35"/>
        <v>18952.400000000001</v>
      </c>
      <c r="J73" s="116">
        <f t="shared" si="35"/>
        <v>19452.400000000001</v>
      </c>
      <c r="K73" s="116">
        <f t="shared" si="35"/>
        <v>19952.400000000001</v>
      </c>
      <c r="L73" s="116">
        <f t="shared" si="35"/>
        <v>20452.400000000001</v>
      </c>
      <c r="M73" s="116">
        <f t="shared" si="35"/>
        <v>27952.400000000001</v>
      </c>
      <c r="N73" s="116">
        <f t="shared" si="35"/>
        <v>29316.030000000002</v>
      </c>
      <c r="O73" s="116">
        <f t="shared" si="35"/>
        <v>29316.030000000002</v>
      </c>
      <c r="P73" s="116">
        <f t="shared" si="35"/>
        <v>29316.030000000002</v>
      </c>
      <c r="Q73" s="116">
        <f t="shared" si="35"/>
        <v>34316.03</v>
      </c>
      <c r="R73" s="116">
        <f t="shared" si="35"/>
        <v>41066.03</v>
      </c>
      <c r="S73" s="116">
        <f t="shared" si="35"/>
        <v>47816.03</v>
      </c>
      <c r="T73" s="116">
        <f t="shared" si="35"/>
        <v>51816.03</v>
      </c>
      <c r="U73" s="116">
        <f t="shared" si="35"/>
        <v>55816.03</v>
      </c>
      <c r="V73" s="116">
        <f t="shared" si="35"/>
        <v>59816.03</v>
      </c>
      <c r="W73" s="116">
        <f t="shared" si="35"/>
        <v>63816.03</v>
      </c>
      <c r="X73" s="116">
        <f t="shared" si="35"/>
        <v>63816.03</v>
      </c>
      <c r="Y73" s="116">
        <f t="shared" si="35"/>
        <v>63816.03</v>
      </c>
      <c r="Z73" s="116">
        <f t="shared" si="35"/>
        <v>63816.03</v>
      </c>
      <c r="AA73" s="116">
        <f t="shared" si="35"/>
        <v>63816.03</v>
      </c>
      <c r="AB73" s="116">
        <f t="shared" si="35"/>
        <v>63816.03</v>
      </c>
      <c r="AC73" s="117"/>
      <c r="AD73" s="159"/>
    </row>
    <row r="74" spans="1:30" ht="14.25" customHeight="1" x14ac:dyDescent="0.3">
      <c r="A74" s="15"/>
      <c r="B74" s="65"/>
      <c r="C74" s="118"/>
      <c r="D74" s="118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8"/>
      <c r="AD74" s="69"/>
    </row>
    <row r="75" spans="1:30" ht="14.25" customHeight="1" x14ac:dyDescent="0.3">
      <c r="A75" s="15"/>
      <c r="B75" s="119" t="s">
        <v>47</v>
      </c>
      <c r="C75" s="120"/>
      <c r="D75" s="12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29"/>
    </row>
    <row r="76" spans="1:30" ht="14.25" customHeight="1" x14ac:dyDescent="0.3">
      <c r="A76" s="15"/>
      <c r="B76" s="30" t="s">
        <v>48</v>
      </c>
      <c r="C76" s="150" t="s">
        <v>49</v>
      </c>
      <c r="D76" s="31">
        <v>4391.1000000000004</v>
      </c>
      <c r="E76" s="175">
        <f>D76-E77</f>
        <v>4391.1000000000004</v>
      </c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7">
        <v>0</v>
      </c>
    </row>
    <row r="77" spans="1:30" ht="14.25" customHeight="1" x14ac:dyDescent="0.3">
      <c r="A77" s="15"/>
      <c r="B77" s="176" t="s">
        <v>50</v>
      </c>
      <c r="C77" s="176"/>
      <c r="D77" s="151">
        <v>0</v>
      </c>
      <c r="E77" s="175">
        <f>D76*D77</f>
        <v>0</v>
      </c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7"/>
    </row>
    <row r="78" spans="1:30" ht="15" customHeight="1" x14ac:dyDescent="0.3">
      <c r="A78" s="24"/>
      <c r="B78" s="30" t="s">
        <v>51</v>
      </c>
      <c r="C78" s="152" t="s">
        <v>52</v>
      </c>
      <c r="D78" s="127">
        <v>2032.25</v>
      </c>
      <c r="E78" s="177">
        <f>D78</f>
        <v>2032.25</v>
      </c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8" t="s">
        <v>53</v>
      </c>
    </row>
    <row r="79" spans="1:30" ht="15" customHeight="1" x14ac:dyDescent="0.3">
      <c r="A79" s="24"/>
      <c r="B79" s="153" t="s">
        <v>54</v>
      </c>
      <c r="C79" s="154"/>
      <c r="D79" s="154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55">
        <f>D76+D78</f>
        <v>6423.35</v>
      </c>
      <c r="AD79" s="178"/>
    </row>
    <row r="80" spans="1:30" ht="15" x14ac:dyDescent="0.3">
      <c r="A80" s="131"/>
      <c r="B80" s="180" t="s">
        <v>55</v>
      </c>
      <c r="C80" s="180"/>
      <c r="D80" s="156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57">
        <f>AC79+AC72</f>
        <v>70239.38</v>
      </c>
      <c r="AD80" s="158">
        <f>AD76+AD68+AD62+AD55+AD48+AD29</f>
        <v>0</v>
      </c>
    </row>
    <row r="81" spans="1:29" ht="15" customHeight="1" x14ac:dyDescent="0.3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</row>
    <row r="82" spans="1:29" ht="14.25" customHeigh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4.25" customHeight="1" x14ac:dyDescent="0.3">
      <c r="A83" s="15"/>
      <c r="B83" s="169" t="s">
        <v>56</v>
      </c>
      <c r="C83" s="169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3.5" customHeight="1" x14ac:dyDescent="0.3">
      <c r="A84" s="15"/>
      <c r="B84" s="135" t="s">
        <v>57</v>
      </c>
      <c r="C84" s="136" t="s">
        <v>58</v>
      </c>
      <c r="D84" s="137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4.25" customHeight="1" x14ac:dyDescent="0.3">
      <c r="A85" s="15"/>
      <c r="B85" s="135" t="s">
        <v>59</v>
      </c>
      <c r="C85" s="138" t="s">
        <v>60</v>
      </c>
      <c r="D85" s="139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4.25" customHeight="1" x14ac:dyDescent="0.3">
      <c r="A86" s="15"/>
      <c r="B86" s="135"/>
      <c r="C86" s="135"/>
      <c r="D86" s="13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4.25" customHeight="1" x14ac:dyDescent="0.3">
      <c r="A87" s="15"/>
      <c r="B87" s="170" t="s">
        <v>62</v>
      </c>
      <c r="C87" s="170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22.5" customHeight="1" x14ac:dyDescent="0.3">
      <c r="A88" s="15"/>
      <c r="B88" s="171" t="s">
        <v>63</v>
      </c>
      <c r="C88" s="171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6.75" customHeight="1" x14ac:dyDescent="0.3">
      <c r="A89" s="15"/>
      <c r="B89" s="140"/>
      <c r="C89" s="140"/>
      <c r="D89" s="140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4.25" customHeight="1" x14ac:dyDescent="0.3">
      <c r="A90" s="15"/>
      <c r="B90" s="172" t="s">
        <v>64</v>
      </c>
      <c r="C90" s="172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4.25" customHeight="1" x14ac:dyDescent="0.3">
      <c r="A91" s="15"/>
      <c r="B91" s="173" t="s">
        <v>65</v>
      </c>
      <c r="C91" s="17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" customHeight="1" x14ac:dyDescent="0.3">
      <c r="A92" s="15"/>
      <c r="B92" s="173"/>
      <c r="C92" s="173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6" customHeight="1" x14ac:dyDescent="0.3">
      <c r="A93" s="15"/>
      <c r="B93" s="141"/>
      <c r="C93" s="141"/>
      <c r="D93" s="141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5" customHeight="1" x14ac:dyDescent="0.3">
      <c r="A94" s="15"/>
      <c r="B94" s="170" t="s">
        <v>66</v>
      </c>
      <c r="C94" s="170"/>
      <c r="E94" s="24"/>
      <c r="F94" s="2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4.25" customHeight="1" x14ac:dyDescent="0.3">
      <c r="A95" s="15"/>
      <c r="B95" s="173" t="s">
        <v>67</v>
      </c>
      <c r="C95" s="173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28.5" customHeight="1" x14ac:dyDescent="0.3">
      <c r="A96" s="15"/>
      <c r="B96" s="173"/>
      <c r="C96" s="173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4.25" customHeight="1" x14ac:dyDescent="0.3">
      <c r="A97" s="15"/>
      <c r="B97" s="135"/>
      <c r="C97" s="135"/>
      <c r="D97" s="13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4.25" customHeight="1" x14ac:dyDescent="0.3">
      <c r="A98" s="15"/>
      <c r="B98" s="143"/>
      <c r="C98" s="135"/>
      <c r="D98" s="13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4.25" customHeight="1" x14ac:dyDescent="0.3">
      <c r="A99" s="15"/>
      <c r="B99" s="14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4.25" customHeight="1" x14ac:dyDescent="0.3">
      <c r="A100" s="15"/>
      <c r="B100" s="14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4.25" customHeigh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4.25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4.25" customHeigh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4.25" customHeigh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4.25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4.25" customHeigh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4.2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4.2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4.2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4.2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4.2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4.2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4.2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4.2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4.2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4.2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4.2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4.2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4.2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4.2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4.2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4.2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4.2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4.2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4.2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4.2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4.2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4.2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4.2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4.2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4.2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4.2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4.2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4.2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4.2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4.2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4.2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4.2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4.2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4.2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4.2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4.2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4.2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4.2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4.2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4.2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4.2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4.2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4.2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4.2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4.2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4.2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4.2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4.2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4.2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4.2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4.2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4.2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4.2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4.2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4.2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4.2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4.2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4.2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4.2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4.2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4.2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4.2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4.2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4.2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4.2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4.2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4.2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4.2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4.2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4.2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4.2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4.2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4.2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4.2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4.2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4.2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4.2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4.2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4.2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4.2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4.2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4.2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4.2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4.2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4.2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4.2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4.2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4.2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4.2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4.2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4.2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4.2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4.2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4.2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4.2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4.2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4.2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4.2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4.2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4.2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4.2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4.2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4.2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4.2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4.2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4.2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4.2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4.2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4.2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4.2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4.2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4.2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4.2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4.2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4.2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4.2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4.2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4.2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4.2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4.2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4.2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4.2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4.2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4.2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4.2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4.2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4.2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4.2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4.2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4.2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4.2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4.2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4.2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4.2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4.2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4.2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4.2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4.2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4.2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4.2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4.2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4.2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4.2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4.2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4.2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4.2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4.2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4.2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4.2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4.2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4.2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4.2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4.2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4.2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4.2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4.2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4.2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4.2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4.2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4.2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4.2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4.2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4.2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4.2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4.2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4.2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4.2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4.2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4.2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4.2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4.2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4.2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4.2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4.2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4.2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4.2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4.2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4.2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4.2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4.2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4.2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4.2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4.2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4.2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4.2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4.2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4.2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4.2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4.2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4.2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4.2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4.2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4.2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4.2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4.2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4.2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4.2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4.2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4.2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4.2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4.2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4.2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4.2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4.2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4.2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4.2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4.2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4.2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4.2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4.2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4.2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4.2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4.2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4.2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4.2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4.2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4.2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4.2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4.2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4.2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4.2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4.2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4.2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4.2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4.2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4.2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4.2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4.2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4.2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4.2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4.2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4.2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4.2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4.2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4.2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4.2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4.2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4.2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4.2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4.2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4.2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4.2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4.2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4.2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4.2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4.2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4.2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4.2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4.2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4.2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4.2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4.2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4.2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4.2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4.2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4.2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4.2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4.2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4.2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4.2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4.2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4.2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4.2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4.2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4.2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4.2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4.2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4.2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4.2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4.2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4.2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4.2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4.2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4.2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4.2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4.2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4.2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4.2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4.2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4.2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4.2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4.2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4.2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4.2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4.2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4.2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4.2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4.2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4.2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4.2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4.2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4.2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4.2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4.2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4.2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4.2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4.2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4.2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4.2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4.2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4.2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4.2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4.2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4.2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4.2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4.2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4.2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4.2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4.2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4.2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4.2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4.2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4.2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4.2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4.2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4.2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4.2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4.2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4.2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4.2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4.2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4.2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4.2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4.2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4.2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4.2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4.2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4.2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4.2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4.2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4.2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4.2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4.2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4.2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4.2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4.2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4.2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4.2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4.2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4.2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4.2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4.2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4.2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4.2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4.2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4.2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4.2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4.2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4.2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4.2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4.2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4.2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4.2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4.2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4.2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4.2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4.2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4.2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4.2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4.2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4.2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4.2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4.2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4.2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4.2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4.2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4.2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4.2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4.2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4.2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4.2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4.2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4.2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4.2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4.2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4.2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4.2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4.2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4.2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4.2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4.2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4.2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4.2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4.2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4.2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4.2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4.2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4.2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4.2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4.2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4.2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4.2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4.2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4.2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4.2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4.2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4.2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4.2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4.2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4.2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4.2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4.2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4.2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4.2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4.2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4.2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4.2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4.2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4.2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4.2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4.2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4.2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4.2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4.2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4.2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4.2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4.2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4.2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4.2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4.2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4.2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4.2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4.2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4.2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4.2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4.2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4.2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4.2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4.2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4.2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4.2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4.2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4.2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4.2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4.2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4.2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4.2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4.2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4.2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4.2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4.2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4.2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4.2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4.2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4.2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4.2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4.2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4.2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4.2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4.2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4.2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4.2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4.2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4.2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4.2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4.2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4.2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4.2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4.2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4.2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4.2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4.2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4.2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4.2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4.2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4.2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4.2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4.2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4.2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4.2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4.2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4.2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4.2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4.2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4.2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4.2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4.2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4.2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4.2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4.2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4.2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4.2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4.2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4.2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4.2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4.2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4.2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4.2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4.2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4.2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4.2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4.2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4.2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4.2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4.2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4.2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4.2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4.2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4.2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4.2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4.2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4.2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4.2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4.2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4.2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4.2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4.2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4.2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4.2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4.2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4.2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4.2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4.2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4.2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4.2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4.2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4.2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4.2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4.2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4.2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4.2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4.2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4.2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4.2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4.2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4.2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4.2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4.2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4.2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4.2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4.2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4.2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4.2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4.2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4.2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4.2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4.2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4.2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4.2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4.2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4.2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4.2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4.2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4.2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4.2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4.2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4.2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4.2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4.2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4.2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4.2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4.2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4.2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4.2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4.2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4.2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4.2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4.2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4.2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4.2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4.2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4.2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4.2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4.2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4.2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4.2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4.2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4.2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4.2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4.2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4.2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4.2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4.2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4.2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4.2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4.2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4.2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4.2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4.2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4.2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4.2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4.2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4.2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4.2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4.2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4.2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4.2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4.2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4.2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4.2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4.2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4.2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4.2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4.2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4.2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4.2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4.2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4.2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4.2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4.2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4.2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4.2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4.2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4.2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4.2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4.2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4.2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4.2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4.2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4.2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4.2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4.2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4.2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4.2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4.2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4.2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4.2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4.2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4.2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4.2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4.2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4.2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4.2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4.2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4.2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4.2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4.2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4.2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4.2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4.2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4.2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4.2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4.2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4.2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4.2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4.2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4.2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4.2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4.2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4.2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4.2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4.2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4.2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4.2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4.2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4.2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4.2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4.2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4.2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4.2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4.2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4.2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4.2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4.2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4.2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4.2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4.2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4.2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4.2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4.2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4.2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4.2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4.2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4.2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4.2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4.2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4.2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4.2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4.2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4.2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4.2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4.2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4.2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4.2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4.2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4.2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4.2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4.2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4.2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4.2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4.2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4.2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4.2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4.2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4.2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4.2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4.2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4.2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4.2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4.2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4.2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4.2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4.2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4.2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4.2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4.2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4.2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4.2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4.2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4.2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4.2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4.2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4.2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4.2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4.2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4.2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4.2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4.2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4.2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4.2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4.2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4.2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4.2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4.2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4.2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4.2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4.2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4.2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4.2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4.2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4.2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4.2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4.2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4.2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4.2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4.2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4.2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4.2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4.2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4.2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4.2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4.2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4.2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4.2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4.2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4.2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4.2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4.2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4.2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4.2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4.2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4.2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4.2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4.2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4.2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4.2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4.2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4.2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4.2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4.2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4.2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4.2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4.2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4.2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4.2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4.2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4.2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4.2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4.2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4.2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4.2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4.2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4.2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4.2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4.2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4.2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4.2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4.2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4.2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4.2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4.2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4.2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4.2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4.2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4.2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4.2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4.2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4.2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4.2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4.2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4.2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4.2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4.2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4.2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4.2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4.2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4.2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4.2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4.2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4.2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4.2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4.2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4.2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4.2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4.2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4.2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4.2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4.2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4.2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4.2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4.2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4.2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4.2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4.2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4.2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4.2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4.2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4.2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4.2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4.2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4.2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4.2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4.2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4.2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4.2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4.2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4.2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4.2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4.2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4.2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4.2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4.2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4.2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4.2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4.2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4.2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4.2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4.2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4.2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4.2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4.2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4.2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4.2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4.2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4.2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4.2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4.2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4.2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4.2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4.2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4.2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4.2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4.2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4.2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4.2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4.2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4.2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4.2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4.2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4.2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4.2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4.2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4.2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4.2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4.2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4.2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4.2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4.2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4.2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4.2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4.2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4.2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4.2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4.2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4.2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4.2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4.2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4.2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4.2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4.2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4.2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4.2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4.2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4.2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4.2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4.2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4.2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4.2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4.2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4.2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4.2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4.2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4.2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4.2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4.2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4.2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4.2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4.2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4.2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4.2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4.2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4.2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4.2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4.2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4.25" customHeight="1" x14ac:dyDescent="0.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4.25" customHeight="1" x14ac:dyDescent="0.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4.25" customHeight="1" x14ac:dyDescent="0.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4.25" customHeight="1" x14ac:dyDescent="0.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spans="1:29" ht="14.25" customHeight="1" x14ac:dyDescent="0.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spans="1:29" ht="14.25" customHeight="1" x14ac:dyDescent="0.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spans="1:29" ht="14.25" customHeight="1" x14ac:dyDescent="0.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spans="1:29" ht="14.25" customHeight="1" x14ac:dyDescent="0.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spans="1:29" ht="14.25" customHeight="1" x14ac:dyDescent="0.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spans="1:29" ht="14.25" customHeight="1" x14ac:dyDescent="0.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spans="1:29" ht="14.25" customHeight="1" x14ac:dyDescent="0.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spans="1:29" ht="14.25" customHeight="1" x14ac:dyDescent="0.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spans="1:29" ht="14.25" customHeight="1" x14ac:dyDescent="0.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spans="1:29" ht="14.25" customHeight="1" x14ac:dyDescent="0.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spans="1:29" ht="14.25" customHeight="1" x14ac:dyDescent="0.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spans="1:29" ht="14.25" customHeight="1" x14ac:dyDescent="0.3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spans="1:29" ht="14.25" customHeight="1" x14ac:dyDescent="0.3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spans="1:29" ht="14.25" customHeight="1" x14ac:dyDescent="0.3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spans="1:29" ht="14.25" customHeight="1" x14ac:dyDescent="0.3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spans="1:29" ht="14.25" customHeight="1" x14ac:dyDescent="0.3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spans="1:29" ht="14.25" customHeight="1" x14ac:dyDescent="0.3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spans="1:29" ht="14.25" customHeight="1" x14ac:dyDescent="0.3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spans="1:29" ht="14.25" customHeight="1" x14ac:dyDescent="0.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spans="1:29" ht="14.25" customHeight="1" x14ac:dyDescent="0.3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spans="1:29" ht="14.25" customHeight="1" x14ac:dyDescent="0.3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spans="1:29" ht="14.25" customHeight="1" x14ac:dyDescent="0.3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spans="1:29" ht="14.25" customHeight="1" x14ac:dyDescent="0.3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spans="1:29" ht="14.25" customHeight="1" x14ac:dyDescent="0.3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spans="1:29" ht="14.25" customHeight="1" x14ac:dyDescent="0.3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spans="1:29" ht="14.25" customHeight="1" x14ac:dyDescent="0.3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spans="1:29" ht="14.25" customHeight="1" x14ac:dyDescent="0.3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spans="1:29" ht="14.25" customHeight="1" x14ac:dyDescent="0.3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spans="1:29" ht="14.25" customHeight="1" x14ac:dyDescent="0.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spans="1:29" ht="14.25" customHeight="1" x14ac:dyDescent="0.3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spans="1:29" ht="14.25" customHeight="1" x14ac:dyDescent="0.3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  <row r="1036" spans="1:29" ht="14.25" customHeight="1" x14ac:dyDescent="0.3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 spans="1:29" ht="14.25" customHeight="1" x14ac:dyDescent="0.3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</row>
    <row r="1038" spans="1:29" ht="14.25" customHeight="1" x14ac:dyDescent="0.3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</row>
  </sheetData>
  <mergeCells count="59">
    <mergeCell ref="B94:C94"/>
    <mergeCell ref="B95:C96"/>
    <mergeCell ref="B83:C83"/>
    <mergeCell ref="B87:C87"/>
    <mergeCell ref="B88:C88"/>
    <mergeCell ref="B90:C90"/>
    <mergeCell ref="B91:C92"/>
    <mergeCell ref="E78:AC78"/>
    <mergeCell ref="AD78:AD79"/>
    <mergeCell ref="E79:AB79"/>
    <mergeCell ref="B80:C80"/>
    <mergeCell ref="E80:AB80"/>
    <mergeCell ref="AD70:AD73"/>
    <mergeCell ref="E75:AC75"/>
    <mergeCell ref="E76:AC76"/>
    <mergeCell ref="AD76:AD77"/>
    <mergeCell ref="B77:C77"/>
    <mergeCell ref="E77:AC77"/>
    <mergeCell ref="B64:D64"/>
    <mergeCell ref="E64:AB64"/>
    <mergeCell ref="B65:D65"/>
    <mergeCell ref="B66:D66"/>
    <mergeCell ref="B67:D67"/>
    <mergeCell ref="E57:AB57"/>
    <mergeCell ref="B58:D58"/>
    <mergeCell ref="B59:D59"/>
    <mergeCell ref="B60:D60"/>
    <mergeCell ref="B61:D61"/>
    <mergeCell ref="B51:D51"/>
    <mergeCell ref="B52:D52"/>
    <mergeCell ref="B53:D53"/>
    <mergeCell ref="B54:D54"/>
    <mergeCell ref="B57:D57"/>
    <mergeCell ref="AD40:AD41"/>
    <mergeCell ref="AD42:AD43"/>
    <mergeCell ref="AD44:AD45"/>
    <mergeCell ref="AD46:AD47"/>
    <mergeCell ref="E50:AB50"/>
    <mergeCell ref="E31:AB31"/>
    <mergeCell ref="AD32:AD33"/>
    <mergeCell ref="AD34:AD35"/>
    <mergeCell ref="AD36:AD37"/>
    <mergeCell ref="AD38:AD39"/>
    <mergeCell ref="AD19:AD20"/>
    <mergeCell ref="AD21:AD22"/>
    <mergeCell ref="AD23:AD24"/>
    <mergeCell ref="AD25:AD26"/>
    <mergeCell ref="AD27:AD28"/>
    <mergeCell ref="E5:AB5"/>
    <mergeCell ref="AD11:AD12"/>
    <mergeCell ref="AD13:AD14"/>
    <mergeCell ref="AD15:AD16"/>
    <mergeCell ref="AD17:AD18"/>
    <mergeCell ref="B1:AC1"/>
    <mergeCell ref="B2:B3"/>
    <mergeCell ref="C2:D3"/>
    <mergeCell ref="AC3:AC4"/>
    <mergeCell ref="AD3:AD4"/>
    <mergeCell ref="E4:AB4"/>
  </mergeCells>
  <pageMargins left="0.7" right="0.7" top="0.78749999999999998" bottom="0.78749999999999998" header="0.511811023622047" footer="0.511811023622047"/>
  <pageSetup paperSize="9" scale="5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Kosten_Planung</vt:lpstr>
      <vt:lpstr>Tracking_Actuals_Projektverlauf</vt:lpstr>
      <vt:lpstr>Kosten_Planung!Druckbereich</vt:lpstr>
      <vt:lpstr>Tracking_Actuals_Projektverlauf!Druckbereich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Schmidt</dc:creator>
  <dc:description/>
  <cp:lastModifiedBy>Simon Blasen</cp:lastModifiedBy>
  <cp:revision>0</cp:revision>
  <cp:lastPrinted>2019-11-18T16:34:06Z</cp:lastPrinted>
  <dcterms:created xsi:type="dcterms:W3CDTF">2019-11-13T07:28:22Z</dcterms:created>
  <dcterms:modified xsi:type="dcterms:W3CDTF">2026-09-11T12:10:35Z</dcterms:modified>
  <dc:language>en-US</dc:language>
</cp:coreProperties>
</file>