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ScrewDriversMFG\Take Over\"/>
    </mc:Choice>
  </mc:AlternateContent>
  <xr:revisionPtr revIDLastSave="0" documentId="13_ncr:1_{833432DB-7ECF-4478-857D-9C6ABDED2756}" xr6:coauthVersionLast="47" xr6:coauthVersionMax="47" xr10:uidLastSave="{00000000-0000-0000-0000-000000000000}"/>
  <bookViews>
    <workbookView xWindow="80430" yWindow="3195" windowWidth="37560" windowHeight="27375" xr2:uid="{00000000-000D-0000-FFFF-FFFF00000000}"/>
  </bookViews>
  <sheets>
    <sheet name="Produktname_Erlösvorschau" sheetId="1" r:id="rId1"/>
  </sheets>
  <definedNames>
    <definedName name="_xlnm.Print_Area" localSheetId="0">Produktname_Erlösvorschau!$B$2:$AA$44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J12" i="1"/>
  <c r="K12" i="1"/>
  <c r="L12" i="1"/>
  <c r="M12" i="1"/>
  <c r="N12" i="1" s="1"/>
  <c r="E12" i="1"/>
  <c r="E30" i="1" s="1"/>
  <c r="D12" i="1"/>
  <c r="D30" i="1"/>
  <c r="M30" i="1"/>
  <c r="L30" i="1"/>
  <c r="K30" i="1"/>
  <c r="J30" i="1"/>
  <c r="I30" i="1"/>
  <c r="H30" i="1"/>
  <c r="G30" i="1"/>
  <c r="F30" i="1"/>
  <c r="C30" i="1"/>
  <c r="AA28" i="1"/>
  <c r="Z25" i="1"/>
  <c r="Z27" i="1" s="1"/>
  <c r="Z29" i="1" s="1"/>
  <c r="Y25" i="1"/>
  <c r="Y27" i="1" s="1"/>
  <c r="Y29" i="1" s="1"/>
  <c r="X25" i="1"/>
  <c r="X27" i="1" s="1"/>
  <c r="X29" i="1" s="1"/>
  <c r="W25" i="1"/>
  <c r="W27" i="1" s="1"/>
  <c r="W29" i="1" s="1"/>
  <c r="V25" i="1"/>
  <c r="V27" i="1" s="1"/>
  <c r="V29" i="1" s="1"/>
  <c r="U25" i="1"/>
  <c r="U27" i="1" s="1"/>
  <c r="U29" i="1" s="1"/>
  <c r="T25" i="1"/>
  <c r="T27" i="1" s="1"/>
  <c r="T29" i="1" s="1"/>
  <c r="S25" i="1"/>
  <c r="S27" i="1" s="1"/>
  <c r="S29" i="1" s="1"/>
  <c r="R25" i="1"/>
  <c r="R27" i="1" s="1"/>
  <c r="R29" i="1" s="1"/>
  <c r="Q25" i="1"/>
  <c r="Q27" i="1" s="1"/>
  <c r="Q29" i="1" s="1"/>
  <c r="P25" i="1"/>
  <c r="P27" i="1" s="1"/>
  <c r="P29" i="1" s="1"/>
  <c r="O25" i="1"/>
  <c r="O27" i="1" s="1"/>
  <c r="O29" i="1" s="1"/>
  <c r="N25" i="1"/>
  <c r="N27" i="1" s="1"/>
  <c r="N29" i="1" s="1"/>
  <c r="M25" i="1"/>
  <c r="M27" i="1" s="1"/>
  <c r="M29" i="1" s="1"/>
  <c r="L25" i="1"/>
  <c r="L27" i="1" s="1"/>
  <c r="L29" i="1" s="1"/>
  <c r="K25" i="1"/>
  <c r="K27" i="1" s="1"/>
  <c r="K29" i="1" s="1"/>
  <c r="J25" i="1"/>
  <c r="J27" i="1" s="1"/>
  <c r="J29" i="1" s="1"/>
  <c r="I25" i="1"/>
  <c r="I27" i="1" s="1"/>
  <c r="I29" i="1" s="1"/>
  <c r="H25" i="1"/>
  <c r="H27" i="1" s="1"/>
  <c r="H29" i="1" s="1"/>
  <c r="G25" i="1"/>
  <c r="G27" i="1" s="1"/>
  <c r="G29" i="1" s="1"/>
  <c r="F25" i="1"/>
  <c r="F27" i="1" s="1"/>
  <c r="F29" i="1" s="1"/>
  <c r="E25" i="1"/>
  <c r="E27" i="1" s="1"/>
  <c r="E29" i="1" s="1"/>
  <c r="D25" i="1"/>
  <c r="D27" i="1" s="1"/>
  <c r="D29" i="1" s="1"/>
  <c r="C25" i="1"/>
  <c r="C27" i="1" s="1"/>
  <c r="C29" i="1" s="1"/>
  <c r="AA20" i="1"/>
  <c r="Z17" i="1"/>
  <c r="Z19" i="1" s="1"/>
  <c r="Z21" i="1" s="1"/>
  <c r="Y17" i="1"/>
  <c r="Y19" i="1" s="1"/>
  <c r="Y21" i="1" s="1"/>
  <c r="X17" i="1"/>
  <c r="X19" i="1" s="1"/>
  <c r="X21" i="1" s="1"/>
  <c r="W17" i="1"/>
  <c r="W19" i="1" s="1"/>
  <c r="W21" i="1" s="1"/>
  <c r="V17" i="1"/>
  <c r="V19" i="1" s="1"/>
  <c r="V21" i="1" s="1"/>
  <c r="U17" i="1"/>
  <c r="U19" i="1" s="1"/>
  <c r="U21" i="1" s="1"/>
  <c r="T17" i="1"/>
  <c r="T19" i="1" s="1"/>
  <c r="T21" i="1" s="1"/>
  <c r="S17" i="1"/>
  <c r="S19" i="1" s="1"/>
  <c r="S21" i="1" s="1"/>
  <c r="R17" i="1"/>
  <c r="R19" i="1" s="1"/>
  <c r="R21" i="1" s="1"/>
  <c r="Q17" i="1"/>
  <c r="Q19" i="1" s="1"/>
  <c r="Q21" i="1" s="1"/>
  <c r="P17" i="1"/>
  <c r="P19" i="1" s="1"/>
  <c r="P21" i="1" s="1"/>
  <c r="O17" i="1"/>
  <c r="O19" i="1" s="1"/>
  <c r="O21" i="1" s="1"/>
  <c r="N17" i="1"/>
  <c r="N19" i="1" s="1"/>
  <c r="N21" i="1" s="1"/>
  <c r="M17" i="1"/>
  <c r="M19" i="1" s="1"/>
  <c r="M21" i="1" s="1"/>
  <c r="L17" i="1"/>
  <c r="L19" i="1" s="1"/>
  <c r="L21" i="1" s="1"/>
  <c r="K17" i="1"/>
  <c r="K19" i="1" s="1"/>
  <c r="K21" i="1" s="1"/>
  <c r="J17" i="1"/>
  <c r="J19" i="1" s="1"/>
  <c r="J21" i="1" s="1"/>
  <c r="I17" i="1"/>
  <c r="I19" i="1" s="1"/>
  <c r="I21" i="1" s="1"/>
  <c r="H17" i="1"/>
  <c r="H19" i="1" s="1"/>
  <c r="H21" i="1" s="1"/>
  <c r="G17" i="1"/>
  <c r="G19" i="1" s="1"/>
  <c r="G21" i="1" s="1"/>
  <c r="F17" i="1"/>
  <c r="F19" i="1" s="1"/>
  <c r="F21" i="1" s="1"/>
  <c r="E17" i="1"/>
  <c r="E19" i="1" s="1"/>
  <c r="E21" i="1" s="1"/>
  <c r="D17" i="1"/>
  <c r="D19" i="1" s="1"/>
  <c r="D21" i="1" s="1"/>
  <c r="C17" i="1"/>
  <c r="C19" i="1" s="1"/>
  <c r="C21" i="1" s="1"/>
  <c r="Z9" i="1"/>
  <c r="Z11" i="1" s="1"/>
  <c r="Y9" i="1"/>
  <c r="Y11" i="1" s="1"/>
  <c r="X9" i="1"/>
  <c r="X11" i="1" s="1"/>
  <c r="W9" i="1"/>
  <c r="W11" i="1" s="1"/>
  <c r="V9" i="1"/>
  <c r="V11" i="1" s="1"/>
  <c r="U9" i="1"/>
  <c r="U11" i="1" s="1"/>
  <c r="T9" i="1"/>
  <c r="T11" i="1" s="1"/>
  <c r="S9" i="1"/>
  <c r="S11" i="1" s="1"/>
  <c r="R9" i="1"/>
  <c r="R11" i="1" s="1"/>
  <c r="Q9" i="1"/>
  <c r="Q11" i="1" s="1"/>
  <c r="P9" i="1"/>
  <c r="P11" i="1" s="1"/>
  <c r="O9" i="1"/>
  <c r="O11" i="1" s="1"/>
  <c r="N9" i="1"/>
  <c r="N11" i="1" s="1"/>
  <c r="M9" i="1"/>
  <c r="M11" i="1" s="1"/>
  <c r="M13" i="1" s="1"/>
  <c r="L9" i="1"/>
  <c r="L11" i="1" s="1"/>
  <c r="L13" i="1" s="1"/>
  <c r="K9" i="1"/>
  <c r="K11" i="1" s="1"/>
  <c r="K13" i="1" s="1"/>
  <c r="J9" i="1"/>
  <c r="J11" i="1" s="1"/>
  <c r="J13" i="1" s="1"/>
  <c r="I9" i="1"/>
  <c r="I11" i="1" s="1"/>
  <c r="I13" i="1" s="1"/>
  <c r="H9" i="1"/>
  <c r="H11" i="1" s="1"/>
  <c r="H13" i="1" s="1"/>
  <c r="G9" i="1"/>
  <c r="G11" i="1" s="1"/>
  <c r="G13" i="1" s="1"/>
  <c r="F9" i="1"/>
  <c r="F11" i="1" s="1"/>
  <c r="F13" i="1" s="1"/>
  <c r="E9" i="1"/>
  <c r="E11" i="1" s="1"/>
  <c r="E13" i="1" s="1"/>
  <c r="D9" i="1"/>
  <c r="D11" i="1" s="1"/>
  <c r="C9" i="1"/>
  <c r="C11" i="1" s="1"/>
  <c r="C13" i="1" s="1"/>
  <c r="D13" i="1" l="1"/>
  <c r="N13" i="1"/>
  <c r="N30" i="1"/>
  <c r="O12" i="1"/>
  <c r="D31" i="1"/>
  <c r="H31" i="1"/>
  <c r="L31" i="1"/>
  <c r="G31" i="1"/>
  <c r="K31" i="1"/>
  <c r="AA21" i="1"/>
  <c r="E31" i="1"/>
  <c r="I31" i="1"/>
  <c r="M31" i="1"/>
  <c r="AA29" i="1"/>
  <c r="C31" i="1"/>
  <c r="F31" i="1"/>
  <c r="J31" i="1"/>
  <c r="O13" i="1" l="1"/>
  <c r="O31" i="1" s="1"/>
  <c r="O30" i="1"/>
  <c r="P12" i="1"/>
  <c r="N31" i="1"/>
  <c r="C32" i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P13" i="1" l="1"/>
  <c r="P30" i="1"/>
  <c r="Q12" i="1"/>
  <c r="N32" i="1"/>
  <c r="O32" i="1" s="1"/>
  <c r="P31" i="1" l="1"/>
  <c r="Q13" i="1"/>
  <c r="Q31" i="1" s="1"/>
  <c r="Q30" i="1"/>
  <c r="R12" i="1"/>
  <c r="P32" i="1" l="1"/>
  <c r="Q32" i="1" s="1"/>
  <c r="R13" i="1"/>
  <c r="R30" i="1"/>
  <c r="S12" i="1"/>
  <c r="R31" i="1" l="1"/>
  <c r="S13" i="1"/>
  <c r="S30" i="1"/>
  <c r="T12" i="1"/>
  <c r="R32" i="1" l="1"/>
  <c r="T13" i="1"/>
  <c r="T31" i="1" s="1"/>
  <c r="T30" i="1"/>
  <c r="U12" i="1"/>
  <c r="S31" i="1"/>
  <c r="S32" i="1" l="1"/>
  <c r="T32" i="1" s="1"/>
  <c r="U13" i="1"/>
  <c r="U30" i="1"/>
  <c r="V12" i="1"/>
  <c r="U31" i="1" l="1"/>
  <c r="V13" i="1"/>
  <c r="V30" i="1"/>
  <c r="W12" i="1"/>
  <c r="U32" i="1" l="1"/>
  <c r="W13" i="1"/>
  <c r="W31" i="1" s="1"/>
  <c r="W30" i="1"/>
  <c r="X12" i="1"/>
  <c r="V31" i="1"/>
  <c r="V32" i="1" l="1"/>
  <c r="W32" i="1" s="1"/>
  <c r="X13" i="1"/>
  <c r="X30" i="1"/>
  <c r="Y12" i="1"/>
  <c r="X31" i="1" l="1"/>
  <c r="Y13" i="1"/>
  <c r="Y30" i="1"/>
  <c r="Z12" i="1"/>
  <c r="X32" i="1" l="1"/>
  <c r="AA12" i="1"/>
  <c r="Z13" i="1"/>
  <c r="Z31" i="1" s="1"/>
  <c r="Z30" i="1"/>
  <c r="AA30" i="1" s="1"/>
  <c r="Y31" i="1"/>
  <c r="AA13" i="1"/>
  <c r="AA31" i="1" l="1"/>
  <c r="Y32" i="1"/>
  <c r="Z32" i="1"/>
</calcChain>
</file>

<file path=xl/sharedStrings.xml><?xml version="1.0" encoding="utf-8"?>
<sst xmlns="http://schemas.openxmlformats.org/spreadsheetml/2006/main" count="60" uniqueCount="35">
  <si>
    <t>Monat</t>
  </si>
  <si>
    <t>TOTAL</t>
  </si>
  <si>
    <t>Preis pro Einheit (netto)</t>
  </si>
  <si>
    <t>Rabatt in %</t>
  </si>
  <si>
    <t>Preis nach Rabatt</t>
  </si>
  <si>
    <t>Abgabe an Channel in %</t>
  </si>
  <si>
    <t>Netto je Einheit</t>
  </si>
  <si>
    <t>Einheiten</t>
  </si>
  <si>
    <t>Netto Umsatz D1</t>
  </si>
  <si>
    <t>Netto Umsatz D2</t>
  </si>
  <si>
    <t>[Distributionskanal n]</t>
  </si>
  <si>
    <t>Netto Umsatz Dn</t>
  </si>
  <si>
    <t>Einheiten gesamt</t>
  </si>
  <si>
    <t>Netto Umsatz gesamt</t>
  </si>
  <si>
    <t>Netto Umsatz kumuliert</t>
  </si>
  <si>
    <t>Begriff</t>
  </si>
  <si>
    <t>Art</t>
  </si>
  <si>
    <t>Beschreibung</t>
  </si>
  <si>
    <t>Eingabefeld</t>
  </si>
  <si>
    <t>Die Monate ab Zeitpunkt der Veröffentlichung.
Dabei wird in Monat 1 das Produkt kommerziell veröffentlicht (d.h. es kann von Endkunden erworben werden). 
Bitte ergänzen Sie den jeweiligen Monatsnamen und Jahr in der Zeile darunter im Format [MMM JJ]</t>
  </si>
  <si>
    <t>Distributionskanal [1-n]</t>
  </si>
  <si>
    <t xml:space="preserve">Bitte benennen Sie hier den jeweiligen Distributionskanal. Distributionskanäle könnten z.B. Steam, Google Play Store oder auch ein Distributor oder Publisher sein, der alle weiteren Sales-Kanäle managed. 
Ergänzen / Kürzen Sie die Tabelle je nach benötigter Anzahl der Distributioskanäle. </t>
  </si>
  <si>
    <t>Oft werden für einzelne Kanäle Rabatte in einem gewissen Zeitraum gewährt, z.B. im Rahmen von Promotions. Vermerken Sie hier also z.B. für einen Rabatt in Höhe von 25% die Zahl 25 in der entsprechenden Spalte</t>
  </si>
  <si>
    <t>Ausgabefeld</t>
  </si>
  <si>
    <t>Netto Preis nach Abzug des Rabatts</t>
  </si>
  <si>
    <t>Abgabe an Channel (%)</t>
  </si>
  <si>
    <t>Distributionskanäle verlangen meist eine Abgabe. Vermerken Sie hier also den vereinbarten / üblichen Prozentsatz z.B. in Höhe von 30% mit der Zahl 30 in der entsprechenden Spalte</t>
  </si>
  <si>
    <t>Netto Umsatz pro Einheit</t>
  </si>
  <si>
    <t>Anzahl der Produkteinheiten, die sie über den jeweiligen Kanal verkaufen</t>
  </si>
  <si>
    <t>Netto Umsatz D[1-n]</t>
  </si>
  <si>
    <t>Gibt den Netto-Umsatz für den jeweiligen Distributionskanal und Monat an</t>
  </si>
  <si>
    <t>Geben sie den Netto-Listenpreis an, zu dem das Produkt auf dem Distributionskanal verkauft wird</t>
  </si>
  <si>
    <t>ANLAGE 6 - Erlösvorschau</t>
  </si>
  <si>
    <t>Premium Abo</t>
  </si>
  <si>
    <t>B2B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</si>
</sst>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2" x14ac:knownFonts="1">
    <font>
      <sz val="10"/>
      <color rgb="FF000000"/>
      <name val="Arial"/>
    </font>
    <font>
      <sz val="10"/>
      <color theme="1"/>
      <name val="Open Sans"/>
    </font>
    <font>
      <b/>
      <sz val="9"/>
      <color rgb="FF000000"/>
      <name val="Open Sans"/>
    </font>
    <font>
      <b/>
      <sz val="10"/>
      <color theme="1"/>
      <name val="Open Sans"/>
    </font>
    <font>
      <sz val="10"/>
      <name val="Arial"/>
      <family val="2"/>
    </font>
    <font>
      <b/>
      <sz val="8"/>
      <color rgb="FF274E13"/>
      <name val="Open Sans"/>
    </font>
    <font>
      <b/>
      <sz val="10"/>
      <color rgb="FF274E13"/>
      <name val="Open Sans"/>
    </font>
    <font>
      <b/>
      <sz val="10"/>
      <color rgb="FF434343"/>
      <name val="Open Sans"/>
    </font>
    <font>
      <b/>
      <sz val="9"/>
      <color rgb="FF274E13"/>
      <name val="Open Sans"/>
    </font>
    <font>
      <sz val="9"/>
      <name val="Arial"/>
      <family val="2"/>
    </font>
    <font>
      <b/>
      <sz val="9"/>
      <color rgb="FF434343"/>
      <name val="Open Sans"/>
    </font>
    <font>
      <sz val="9"/>
      <color theme="1"/>
      <name val="Open Sans"/>
    </font>
    <font>
      <b/>
      <sz val="9"/>
      <color theme="1"/>
      <name val="Open Sans"/>
    </font>
    <font>
      <sz val="9"/>
      <color rgb="FF274E13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434343"/>
      <name val="Arial"/>
      <family val="2"/>
    </font>
    <font>
      <b/>
      <sz val="10"/>
      <name val="Open Sans"/>
    </font>
    <font>
      <sz val="8"/>
      <color rgb="FF434343"/>
      <name val="Open Sans"/>
    </font>
    <font>
      <b/>
      <sz val="8"/>
      <color rgb="FF434343"/>
      <name val="Open Sans"/>
    </font>
    <font>
      <sz val="8"/>
      <color theme="1"/>
      <name val="Open Sans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1">
    <border>
      <left/>
      <right/>
      <top/>
      <bottom/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999999"/>
      </right>
      <top style="thin">
        <color rgb="FF666666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666666"/>
      </bottom>
      <diagonal/>
    </border>
    <border>
      <left/>
      <right/>
      <top style="double">
        <color rgb="FF999999"/>
      </top>
      <bottom/>
      <diagonal/>
    </border>
    <border>
      <left/>
      <right style="thin">
        <color rgb="FF999999"/>
      </right>
      <top style="double">
        <color rgb="FF999999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666666"/>
      </top>
      <bottom/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666666"/>
      </bottom>
      <diagonal/>
    </border>
    <border>
      <left style="medium">
        <color indexed="64"/>
      </left>
      <right/>
      <top style="double">
        <color rgb="FF999999"/>
      </top>
      <bottom/>
      <diagonal/>
    </border>
    <border>
      <left/>
      <right style="medium">
        <color indexed="64"/>
      </right>
      <top style="double">
        <color rgb="FF99999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999999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4" xfId="0" applyFont="1" applyFill="1" applyBorder="1"/>
    <xf numFmtId="0" fontId="3" fillId="4" borderId="10" xfId="0" applyFont="1" applyFill="1" applyBorder="1"/>
    <xf numFmtId="0" fontId="1" fillId="0" borderId="0" xfId="0" applyFont="1" applyAlignment="1">
      <alignment horizontal="left" vertical="top"/>
    </xf>
    <xf numFmtId="3" fontId="10" fillId="5" borderId="8" xfId="0" applyNumberFormat="1" applyFont="1" applyFill="1" applyBorder="1"/>
    <xf numFmtId="3" fontId="10" fillId="5" borderId="9" xfId="0" applyNumberFormat="1" applyFont="1" applyFill="1" applyBorder="1"/>
    <xf numFmtId="164" fontId="10" fillId="5" borderId="6" xfId="0" applyNumberFormat="1" applyFont="1" applyFill="1" applyBorder="1"/>
    <xf numFmtId="0" fontId="1" fillId="0" borderId="0" xfId="0" applyFont="1" applyAlignment="1">
      <alignment wrapText="1"/>
    </xf>
    <xf numFmtId="0" fontId="12" fillId="0" borderId="11" xfId="0" applyFont="1" applyBorder="1" applyAlignment="1">
      <alignment horizontal="left" vertical="top" wrapText="1"/>
    </xf>
    <xf numFmtId="0" fontId="13" fillId="2" borderId="1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4" fillId="0" borderId="11" xfId="0" applyFont="1" applyBorder="1" applyAlignment="1">
      <alignment horizontal="left" vertical="top" wrapText="1"/>
    </xf>
    <xf numFmtId="0" fontId="16" fillId="5" borderId="12" xfId="0" applyFont="1" applyFill="1" applyBorder="1" applyAlignment="1">
      <alignment horizontal="left" vertical="top" wrapText="1"/>
    </xf>
    <xf numFmtId="164" fontId="5" fillId="2" borderId="6" xfId="0" applyNumberFormat="1" applyFont="1" applyFill="1" applyBorder="1"/>
    <xf numFmtId="4" fontId="5" fillId="2" borderId="6" xfId="0" applyNumberFormat="1" applyFont="1" applyFill="1" applyBorder="1"/>
    <xf numFmtId="164" fontId="18" fillId="4" borderId="6" xfId="0" applyNumberFormat="1" applyFont="1" applyFill="1" applyBorder="1"/>
    <xf numFmtId="3" fontId="5" fillId="2" borderId="6" xfId="0" applyNumberFormat="1" applyFont="1" applyFill="1" applyBorder="1"/>
    <xf numFmtId="164" fontId="19" fillId="4" borderId="3" xfId="0" applyNumberFormat="1" applyFont="1" applyFill="1" applyBorder="1"/>
    <xf numFmtId="164" fontId="19" fillId="4" borderId="7" xfId="0" applyNumberFormat="1" applyFont="1" applyFill="1" applyBorder="1"/>
    <xf numFmtId="164" fontId="19" fillId="4" borderId="6" xfId="0" applyNumberFormat="1" applyFont="1" applyFill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6" fillId="0" borderId="21" xfId="0" applyFont="1" applyBorder="1"/>
    <xf numFmtId="0" fontId="1" fillId="0" borderId="22" xfId="0" applyFont="1" applyBorder="1"/>
    <xf numFmtId="0" fontId="12" fillId="2" borderId="23" xfId="0" applyFont="1" applyFill="1" applyBorder="1"/>
    <xf numFmtId="164" fontId="5" fillId="2" borderId="0" xfId="0" applyNumberFormat="1" applyFont="1" applyFill="1"/>
    <xf numFmtId="4" fontId="5" fillId="2" borderId="0" xfId="0" applyNumberFormat="1" applyFont="1" applyFill="1"/>
    <xf numFmtId="164" fontId="10" fillId="4" borderId="23" xfId="0" applyNumberFormat="1" applyFont="1" applyFill="1" applyBorder="1"/>
    <xf numFmtId="164" fontId="18" fillId="4" borderId="0" xfId="0" applyNumberFormat="1" applyFont="1" applyFill="1"/>
    <xf numFmtId="4" fontId="8" fillId="2" borderId="23" xfId="0" applyNumberFormat="1" applyFont="1" applyFill="1" applyBorder="1"/>
    <xf numFmtId="3" fontId="5" fillId="2" borderId="0" xfId="0" applyNumberFormat="1" applyFont="1" applyFill="1"/>
    <xf numFmtId="3" fontId="10" fillId="5" borderId="20" xfId="0" applyNumberFormat="1" applyFont="1" applyFill="1" applyBorder="1"/>
    <xf numFmtId="164" fontId="10" fillId="4" borderId="19" xfId="0" applyNumberFormat="1" applyFont="1" applyFill="1" applyBorder="1"/>
    <xf numFmtId="164" fontId="10" fillId="4" borderId="24" xfId="0" applyNumberFormat="1" applyFont="1" applyFill="1" applyBorder="1"/>
    <xf numFmtId="0" fontId="11" fillId="0" borderId="22" xfId="0" applyFont="1" applyBorder="1"/>
    <xf numFmtId="164" fontId="19" fillId="4" borderId="0" xfId="0" applyNumberFormat="1" applyFont="1" applyFill="1"/>
    <xf numFmtId="164" fontId="10" fillId="4" borderId="20" xfId="0" applyNumberFormat="1" applyFont="1" applyFill="1" applyBorder="1"/>
    <xf numFmtId="0" fontId="7" fillId="5" borderId="25" xfId="0" applyFont="1" applyFill="1" applyBorder="1"/>
    <xf numFmtId="3" fontId="10" fillId="5" borderId="26" xfId="0" applyNumberFormat="1" applyFont="1" applyFill="1" applyBorder="1"/>
    <xf numFmtId="0" fontId="7" fillId="5" borderId="23" xfId="0" applyFont="1" applyFill="1" applyBorder="1"/>
    <xf numFmtId="164" fontId="10" fillId="5" borderId="0" xfId="0" applyNumberFormat="1" applyFont="1" applyFill="1"/>
    <xf numFmtId="164" fontId="10" fillId="5" borderId="20" xfId="0" applyNumberFormat="1" applyFont="1" applyFill="1" applyBorder="1"/>
    <xf numFmtId="0" fontId="7" fillId="5" borderId="27" xfId="0" applyFont="1" applyFill="1" applyBorder="1"/>
    <xf numFmtId="164" fontId="10" fillId="5" borderId="28" xfId="0" applyNumberFormat="1" applyFont="1" applyFill="1" applyBorder="1"/>
    <xf numFmtId="164" fontId="10" fillId="5" borderId="29" xfId="0" applyNumberFormat="1" applyFont="1" applyFill="1" applyBorder="1"/>
    <xf numFmtId="0" fontId="10" fillId="3" borderId="30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4" fillId="0" borderId="5" xfId="0" applyFont="1" applyBorder="1"/>
    <xf numFmtId="164" fontId="8" fillId="3" borderId="20" xfId="0" applyNumberFormat="1" applyFont="1" applyFill="1" applyBorder="1"/>
    <xf numFmtId="0" fontId="9" fillId="0" borderId="20" xfId="0" applyFont="1" applyBorder="1"/>
    <xf numFmtId="0" fontId="3" fillId="0" borderId="15" xfId="0" applyFont="1" applyBorder="1" applyAlignment="1">
      <alignment vertical="center"/>
    </xf>
    <xf numFmtId="0" fontId="4" fillId="0" borderId="19" xfId="0" applyFont="1" applyBorder="1"/>
    <xf numFmtId="0" fontId="20" fillId="0" borderId="1" xfId="0" applyFont="1" applyBorder="1"/>
    <xf numFmtId="0" fontId="21" fillId="0" borderId="1" xfId="0" applyFont="1" applyBorder="1"/>
    <xf numFmtId="0" fontId="11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17" fontId="5" fillId="0" borderId="3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1263650</xdr:colOff>
      <xdr:row>1</xdr:row>
      <xdr:rowOff>26489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0"/>
          <a:ext cx="12636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abSelected="1" view="pageLayout" zoomScale="175" zoomScaleNormal="100" zoomScaleSheetLayoutView="70" zoomScalePageLayoutView="175" workbookViewId="0">
      <selection activeCell="F11" sqref="F11"/>
    </sheetView>
  </sheetViews>
  <sheetFormatPr baseColWidth="10" defaultColWidth="14.42578125" defaultRowHeight="15.75" customHeight="1" x14ac:dyDescent="0.2"/>
  <cols>
    <col min="1" max="1" width="3.140625" customWidth="1"/>
    <col min="2" max="2" width="27.5703125" customWidth="1"/>
    <col min="3" max="3" width="10.7109375" bestFit="1" customWidth="1"/>
    <col min="4" max="7" width="9.42578125" bestFit="1" customWidth="1"/>
    <col min="8" max="22" width="10.28515625" bestFit="1" customWidth="1"/>
    <col min="23" max="26" width="11.42578125" bestFit="1" customWidth="1"/>
    <col min="27" max="27" width="12" customWidth="1"/>
  </cols>
  <sheetData>
    <row r="1" spans="1:27" ht="30" customHeight="1" x14ac:dyDescent="0.2"/>
    <row r="2" spans="1:27" ht="15.75" customHeight="1" x14ac:dyDescent="0.3">
      <c r="A2" s="1"/>
      <c r="B2" s="2" t="s">
        <v>32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1"/>
      <c r="B4" s="57" t="s">
        <v>0</v>
      </c>
      <c r="C4" s="22">
        <v>1</v>
      </c>
      <c r="D4" s="22">
        <v>2</v>
      </c>
      <c r="E4" s="22">
        <v>3</v>
      </c>
      <c r="F4" s="22">
        <v>4</v>
      </c>
      <c r="G4" s="22">
        <v>5</v>
      </c>
      <c r="H4" s="22">
        <v>6</v>
      </c>
      <c r="I4" s="22">
        <v>7</v>
      </c>
      <c r="J4" s="22">
        <v>8</v>
      </c>
      <c r="K4" s="22">
        <v>9</v>
      </c>
      <c r="L4" s="22">
        <v>10</v>
      </c>
      <c r="M4" s="22">
        <v>11</v>
      </c>
      <c r="N4" s="22">
        <v>12</v>
      </c>
      <c r="O4" s="22">
        <v>13</v>
      </c>
      <c r="P4" s="22">
        <v>14</v>
      </c>
      <c r="Q4" s="22">
        <v>15</v>
      </c>
      <c r="R4" s="22">
        <v>16</v>
      </c>
      <c r="S4" s="22">
        <v>17</v>
      </c>
      <c r="T4" s="22">
        <v>18</v>
      </c>
      <c r="U4" s="22">
        <v>19</v>
      </c>
      <c r="V4" s="22">
        <v>20</v>
      </c>
      <c r="W4" s="22">
        <v>21</v>
      </c>
      <c r="X4" s="22">
        <v>22</v>
      </c>
      <c r="Y4" s="22">
        <v>23</v>
      </c>
      <c r="Z4" s="23">
        <v>24</v>
      </c>
      <c r="AA4" s="24"/>
    </row>
    <row r="5" spans="1:27" ht="15.75" customHeight="1" x14ac:dyDescent="0.3">
      <c r="A5" s="1"/>
      <c r="B5" s="58"/>
      <c r="C5" s="65">
        <v>46508</v>
      </c>
      <c r="D5" s="65">
        <v>46539</v>
      </c>
      <c r="E5" s="65">
        <v>46569</v>
      </c>
      <c r="F5" s="65">
        <v>46600</v>
      </c>
      <c r="G5" s="65">
        <v>46631</v>
      </c>
      <c r="H5" s="65">
        <v>46661</v>
      </c>
      <c r="I5" s="65">
        <v>46692</v>
      </c>
      <c r="J5" s="65">
        <v>46722</v>
      </c>
      <c r="K5" s="65">
        <v>46753</v>
      </c>
      <c r="L5" s="65">
        <v>46784</v>
      </c>
      <c r="M5" s="65">
        <v>46813</v>
      </c>
      <c r="N5" s="65">
        <v>46844</v>
      </c>
      <c r="O5" s="65">
        <v>46874</v>
      </c>
      <c r="P5" s="65">
        <v>46905</v>
      </c>
      <c r="Q5" s="65">
        <v>46935</v>
      </c>
      <c r="R5" s="65">
        <v>46966</v>
      </c>
      <c r="S5" s="65">
        <v>46997</v>
      </c>
      <c r="T5" s="65">
        <v>47027</v>
      </c>
      <c r="U5" s="65">
        <v>47058</v>
      </c>
      <c r="V5" s="65">
        <v>47088</v>
      </c>
      <c r="W5" s="65">
        <v>47119</v>
      </c>
      <c r="X5" s="65">
        <v>47150</v>
      </c>
      <c r="Y5" s="65">
        <v>47178</v>
      </c>
      <c r="Z5" s="65">
        <v>47209</v>
      </c>
      <c r="AA5" s="25" t="s">
        <v>1</v>
      </c>
    </row>
    <row r="6" spans="1:27" ht="15" x14ac:dyDescent="0.3">
      <c r="A6" s="1"/>
      <c r="B6" s="26" t="s">
        <v>33</v>
      </c>
      <c r="C6" s="52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4"/>
      <c r="AA6" s="27"/>
    </row>
    <row r="7" spans="1:27" ht="15" x14ac:dyDescent="0.3">
      <c r="A7" s="1"/>
      <c r="B7" s="28" t="s">
        <v>2</v>
      </c>
      <c r="C7" s="29">
        <v>4.99</v>
      </c>
      <c r="D7" s="29">
        <v>4.99</v>
      </c>
      <c r="E7" s="29">
        <v>4.99</v>
      </c>
      <c r="F7" s="29">
        <v>4.99</v>
      </c>
      <c r="G7" s="29">
        <v>4.99</v>
      </c>
      <c r="H7" s="29">
        <v>4.99</v>
      </c>
      <c r="I7" s="29">
        <v>4.99</v>
      </c>
      <c r="J7" s="29">
        <v>4.99</v>
      </c>
      <c r="K7" s="29">
        <v>4.99</v>
      </c>
      <c r="L7" s="29">
        <v>4.99</v>
      </c>
      <c r="M7" s="29">
        <v>4.99</v>
      </c>
      <c r="N7" s="29">
        <v>4.99</v>
      </c>
      <c r="O7" s="29">
        <v>4.99</v>
      </c>
      <c r="P7" s="29">
        <v>4.99</v>
      </c>
      <c r="Q7" s="29">
        <v>4.99</v>
      </c>
      <c r="R7" s="29">
        <v>4.99</v>
      </c>
      <c r="S7" s="29">
        <v>4.99</v>
      </c>
      <c r="T7" s="29">
        <v>4.99</v>
      </c>
      <c r="U7" s="29">
        <v>4.99</v>
      </c>
      <c r="V7" s="29">
        <v>4.99</v>
      </c>
      <c r="W7" s="29">
        <v>4.99</v>
      </c>
      <c r="X7" s="29">
        <v>4.99</v>
      </c>
      <c r="Y7" s="29">
        <v>4.99</v>
      </c>
      <c r="Z7" s="29">
        <v>4.99</v>
      </c>
      <c r="AA7" s="55"/>
    </row>
    <row r="8" spans="1:27" ht="15" x14ac:dyDescent="0.3">
      <c r="A8" s="1"/>
      <c r="B8" s="28" t="s">
        <v>3</v>
      </c>
      <c r="C8" s="30">
        <v>0</v>
      </c>
      <c r="D8" s="30">
        <v>0</v>
      </c>
      <c r="E8" s="16">
        <v>0</v>
      </c>
      <c r="F8" s="30">
        <v>0</v>
      </c>
      <c r="G8" s="30">
        <v>0</v>
      </c>
      <c r="H8" s="16">
        <v>0</v>
      </c>
      <c r="I8" s="30">
        <v>0</v>
      </c>
      <c r="J8" s="30">
        <v>0</v>
      </c>
      <c r="K8" s="16">
        <v>0</v>
      </c>
      <c r="L8" s="30">
        <v>0</v>
      </c>
      <c r="M8" s="30">
        <v>0</v>
      </c>
      <c r="N8" s="16">
        <v>0</v>
      </c>
      <c r="O8" s="30">
        <v>0</v>
      </c>
      <c r="P8" s="30">
        <v>0</v>
      </c>
      <c r="Q8" s="16">
        <v>0</v>
      </c>
      <c r="R8" s="30">
        <v>0</v>
      </c>
      <c r="S8" s="30">
        <v>0</v>
      </c>
      <c r="T8" s="16">
        <v>0</v>
      </c>
      <c r="U8" s="30">
        <v>0</v>
      </c>
      <c r="V8" s="30">
        <v>0</v>
      </c>
      <c r="W8" s="16">
        <v>0</v>
      </c>
      <c r="X8" s="30">
        <v>0</v>
      </c>
      <c r="Y8" s="30">
        <v>0</v>
      </c>
      <c r="Z8" s="16">
        <v>0</v>
      </c>
      <c r="AA8" s="56"/>
    </row>
    <row r="9" spans="1:27" ht="15" x14ac:dyDescent="0.3">
      <c r="A9" s="1"/>
      <c r="B9" s="31" t="s">
        <v>4</v>
      </c>
      <c r="C9" s="32">
        <f t="shared" ref="C9:Z9" si="0">C7-(C7*C8/100)</f>
        <v>4.99</v>
      </c>
      <c r="D9" s="32">
        <f t="shared" si="0"/>
        <v>4.99</v>
      </c>
      <c r="E9" s="17">
        <f t="shared" si="0"/>
        <v>4.99</v>
      </c>
      <c r="F9" s="32">
        <f t="shared" si="0"/>
        <v>4.99</v>
      </c>
      <c r="G9" s="32">
        <f t="shared" si="0"/>
        <v>4.99</v>
      </c>
      <c r="H9" s="17">
        <f t="shared" si="0"/>
        <v>4.99</v>
      </c>
      <c r="I9" s="32">
        <f t="shared" si="0"/>
        <v>4.99</v>
      </c>
      <c r="J9" s="32">
        <f t="shared" si="0"/>
        <v>4.99</v>
      </c>
      <c r="K9" s="17">
        <f t="shared" si="0"/>
        <v>4.99</v>
      </c>
      <c r="L9" s="32">
        <f t="shared" si="0"/>
        <v>4.99</v>
      </c>
      <c r="M9" s="32">
        <f t="shared" si="0"/>
        <v>4.99</v>
      </c>
      <c r="N9" s="17">
        <f t="shared" si="0"/>
        <v>4.99</v>
      </c>
      <c r="O9" s="32">
        <f t="shared" si="0"/>
        <v>4.99</v>
      </c>
      <c r="P9" s="32">
        <f t="shared" si="0"/>
        <v>4.99</v>
      </c>
      <c r="Q9" s="17">
        <f t="shared" si="0"/>
        <v>4.99</v>
      </c>
      <c r="R9" s="32">
        <f t="shared" si="0"/>
        <v>4.99</v>
      </c>
      <c r="S9" s="32">
        <f t="shared" si="0"/>
        <v>4.99</v>
      </c>
      <c r="T9" s="17">
        <f t="shared" si="0"/>
        <v>4.99</v>
      </c>
      <c r="U9" s="32">
        <f t="shared" si="0"/>
        <v>4.99</v>
      </c>
      <c r="V9" s="32">
        <f t="shared" si="0"/>
        <v>4.99</v>
      </c>
      <c r="W9" s="17">
        <f t="shared" si="0"/>
        <v>4.99</v>
      </c>
      <c r="X9" s="32">
        <f t="shared" si="0"/>
        <v>4.99</v>
      </c>
      <c r="Y9" s="32">
        <f t="shared" si="0"/>
        <v>4.99</v>
      </c>
      <c r="Z9" s="17">
        <f t="shared" si="0"/>
        <v>4.99</v>
      </c>
      <c r="AA9" s="56"/>
    </row>
    <row r="10" spans="1:27" ht="15" x14ac:dyDescent="0.3">
      <c r="A10" s="1"/>
      <c r="B10" s="28" t="s">
        <v>5</v>
      </c>
      <c r="C10" s="30">
        <v>30</v>
      </c>
      <c r="D10" s="30">
        <v>30</v>
      </c>
      <c r="E10" s="30">
        <v>30</v>
      </c>
      <c r="F10" s="30">
        <v>30</v>
      </c>
      <c r="G10" s="30">
        <v>30</v>
      </c>
      <c r="H10" s="30">
        <v>30</v>
      </c>
      <c r="I10" s="30">
        <v>30</v>
      </c>
      <c r="J10" s="30">
        <v>30</v>
      </c>
      <c r="K10" s="30">
        <v>30</v>
      </c>
      <c r="L10" s="30">
        <v>30</v>
      </c>
      <c r="M10" s="30">
        <v>30</v>
      </c>
      <c r="N10" s="30">
        <v>30</v>
      </c>
      <c r="O10" s="30">
        <v>30</v>
      </c>
      <c r="P10" s="30">
        <v>30</v>
      </c>
      <c r="Q10" s="30">
        <v>30</v>
      </c>
      <c r="R10" s="30">
        <v>30</v>
      </c>
      <c r="S10" s="30">
        <v>30</v>
      </c>
      <c r="T10" s="30">
        <v>30</v>
      </c>
      <c r="U10" s="30">
        <v>30</v>
      </c>
      <c r="V10" s="30">
        <v>30</v>
      </c>
      <c r="W10" s="30">
        <v>30</v>
      </c>
      <c r="X10" s="30">
        <v>30</v>
      </c>
      <c r="Y10" s="30">
        <v>30</v>
      </c>
      <c r="Z10" s="30">
        <v>30</v>
      </c>
      <c r="AA10" s="56"/>
    </row>
    <row r="11" spans="1:27" ht="15" x14ac:dyDescent="0.3">
      <c r="A11" s="1"/>
      <c r="B11" s="31" t="s">
        <v>6</v>
      </c>
      <c r="C11" s="32">
        <f t="shared" ref="C11:Z11" si="1">C9-(C9*C10/100)</f>
        <v>3.4930000000000003</v>
      </c>
      <c r="D11" s="32">
        <f t="shared" si="1"/>
        <v>3.4930000000000003</v>
      </c>
      <c r="E11" s="17">
        <f t="shared" si="1"/>
        <v>3.4930000000000003</v>
      </c>
      <c r="F11" s="32">
        <f t="shared" si="1"/>
        <v>3.4930000000000003</v>
      </c>
      <c r="G11" s="32">
        <f t="shared" si="1"/>
        <v>3.4930000000000003</v>
      </c>
      <c r="H11" s="17">
        <f t="shared" si="1"/>
        <v>3.4930000000000003</v>
      </c>
      <c r="I11" s="32">
        <f t="shared" si="1"/>
        <v>3.4930000000000003</v>
      </c>
      <c r="J11" s="32">
        <f t="shared" si="1"/>
        <v>3.4930000000000003</v>
      </c>
      <c r="K11" s="17">
        <f t="shared" si="1"/>
        <v>3.4930000000000003</v>
      </c>
      <c r="L11" s="32">
        <f t="shared" si="1"/>
        <v>3.4930000000000003</v>
      </c>
      <c r="M11" s="32">
        <f t="shared" si="1"/>
        <v>3.4930000000000003</v>
      </c>
      <c r="N11" s="17">
        <f t="shared" si="1"/>
        <v>3.4930000000000003</v>
      </c>
      <c r="O11" s="32">
        <f t="shared" si="1"/>
        <v>3.4930000000000003</v>
      </c>
      <c r="P11" s="32">
        <f t="shared" si="1"/>
        <v>3.4930000000000003</v>
      </c>
      <c r="Q11" s="17">
        <f t="shared" si="1"/>
        <v>3.4930000000000003</v>
      </c>
      <c r="R11" s="32">
        <f t="shared" si="1"/>
        <v>3.4930000000000003</v>
      </c>
      <c r="S11" s="32">
        <f t="shared" si="1"/>
        <v>3.4930000000000003</v>
      </c>
      <c r="T11" s="17">
        <f t="shared" si="1"/>
        <v>3.4930000000000003</v>
      </c>
      <c r="U11" s="32">
        <f t="shared" si="1"/>
        <v>3.4930000000000003</v>
      </c>
      <c r="V11" s="32">
        <f t="shared" si="1"/>
        <v>3.4930000000000003</v>
      </c>
      <c r="W11" s="17">
        <f t="shared" si="1"/>
        <v>3.4930000000000003</v>
      </c>
      <c r="X11" s="32">
        <f t="shared" si="1"/>
        <v>3.4930000000000003</v>
      </c>
      <c r="Y11" s="32">
        <f t="shared" si="1"/>
        <v>3.4930000000000003</v>
      </c>
      <c r="Z11" s="17">
        <f t="shared" si="1"/>
        <v>3.4930000000000003</v>
      </c>
      <c r="AA11" s="56"/>
    </row>
    <row r="12" spans="1:27" ht="15" x14ac:dyDescent="0.3">
      <c r="A12" s="1"/>
      <c r="B12" s="33" t="s">
        <v>7</v>
      </c>
      <c r="C12" s="34">
        <v>75</v>
      </c>
      <c r="D12" s="34">
        <f>C12*1.1</f>
        <v>82.5</v>
      </c>
      <c r="E12" s="34">
        <f>D12*1.1</f>
        <v>90.750000000000014</v>
      </c>
      <c r="F12" s="34">
        <f t="shared" ref="F12:Z12" si="2">E12*1.1</f>
        <v>99.825000000000017</v>
      </c>
      <c r="G12" s="34">
        <f t="shared" si="2"/>
        <v>109.80750000000003</v>
      </c>
      <c r="H12" s="34">
        <f t="shared" si="2"/>
        <v>120.78825000000005</v>
      </c>
      <c r="I12" s="34">
        <f t="shared" si="2"/>
        <v>132.86707500000006</v>
      </c>
      <c r="J12" s="34">
        <f t="shared" si="2"/>
        <v>146.15378250000006</v>
      </c>
      <c r="K12" s="34">
        <f t="shared" si="2"/>
        <v>160.76916075000008</v>
      </c>
      <c r="L12" s="34">
        <f t="shared" si="2"/>
        <v>176.8460768250001</v>
      </c>
      <c r="M12" s="34">
        <f t="shared" si="2"/>
        <v>194.53068450750013</v>
      </c>
      <c r="N12" s="34">
        <f t="shared" si="2"/>
        <v>213.98375295825016</v>
      </c>
      <c r="O12" s="34">
        <f t="shared" si="2"/>
        <v>235.38212825407521</v>
      </c>
      <c r="P12" s="34">
        <f t="shared" si="2"/>
        <v>258.92034107948274</v>
      </c>
      <c r="Q12" s="34">
        <f t="shared" si="2"/>
        <v>284.81237518743103</v>
      </c>
      <c r="R12" s="34">
        <f t="shared" si="2"/>
        <v>313.29361270617414</v>
      </c>
      <c r="S12" s="34">
        <f t="shared" si="2"/>
        <v>344.62297397679157</v>
      </c>
      <c r="T12" s="34">
        <f t="shared" si="2"/>
        <v>379.08527137447078</v>
      </c>
      <c r="U12" s="34">
        <f t="shared" si="2"/>
        <v>416.99379851191787</v>
      </c>
      <c r="V12" s="34">
        <f t="shared" si="2"/>
        <v>458.69317836310972</v>
      </c>
      <c r="W12" s="34">
        <f t="shared" si="2"/>
        <v>504.56249619942076</v>
      </c>
      <c r="X12" s="34">
        <f t="shared" si="2"/>
        <v>555.01874581936283</v>
      </c>
      <c r="Y12" s="34">
        <f t="shared" si="2"/>
        <v>610.5206204012992</v>
      </c>
      <c r="Z12" s="34">
        <f t="shared" si="2"/>
        <v>671.57268244142915</v>
      </c>
      <c r="AA12" s="35">
        <f t="shared" ref="AA12:AA13" si="3">SUM(C12:Z12)</f>
        <v>6637.2995068557157</v>
      </c>
    </row>
    <row r="13" spans="1:27" ht="15" x14ac:dyDescent="0.3">
      <c r="A13" s="1"/>
      <c r="B13" s="36" t="s">
        <v>8</v>
      </c>
      <c r="C13" s="19">
        <f t="shared" ref="C13:Z13" si="4">C11*C12</f>
        <v>261.97500000000002</v>
      </c>
      <c r="D13" s="19">
        <f>D11*D12</f>
        <v>288.17250000000001</v>
      </c>
      <c r="E13" s="20">
        <f t="shared" si="4"/>
        <v>316.98975000000007</v>
      </c>
      <c r="F13" s="19">
        <f t="shared" si="4"/>
        <v>348.68872500000009</v>
      </c>
      <c r="G13" s="19">
        <f t="shared" si="4"/>
        <v>383.55759750000016</v>
      </c>
      <c r="H13" s="20">
        <f t="shared" si="4"/>
        <v>421.91335725000022</v>
      </c>
      <c r="I13" s="19">
        <f t="shared" si="4"/>
        <v>464.10469297500026</v>
      </c>
      <c r="J13" s="19">
        <f t="shared" si="4"/>
        <v>510.51516227250028</v>
      </c>
      <c r="K13" s="20">
        <f t="shared" si="4"/>
        <v>561.56667849975031</v>
      </c>
      <c r="L13" s="19">
        <f t="shared" si="4"/>
        <v>617.72334634972538</v>
      </c>
      <c r="M13" s="19">
        <f t="shared" si="4"/>
        <v>679.49568098469797</v>
      </c>
      <c r="N13" s="20">
        <f t="shared" si="4"/>
        <v>747.44524908316794</v>
      </c>
      <c r="O13" s="19">
        <f t="shared" si="4"/>
        <v>822.1897739914848</v>
      </c>
      <c r="P13" s="19">
        <f t="shared" si="4"/>
        <v>904.40875139063326</v>
      </c>
      <c r="Q13" s="20">
        <f t="shared" si="4"/>
        <v>994.84962652969671</v>
      </c>
      <c r="R13" s="19">
        <f t="shared" si="4"/>
        <v>1094.3345891826664</v>
      </c>
      <c r="S13" s="19">
        <f t="shared" si="4"/>
        <v>1203.7680481009331</v>
      </c>
      <c r="T13" s="20">
        <f t="shared" si="4"/>
        <v>1324.1448529110266</v>
      </c>
      <c r="U13" s="19">
        <f t="shared" si="4"/>
        <v>1456.5593382021293</v>
      </c>
      <c r="V13" s="19">
        <f t="shared" si="4"/>
        <v>1602.2152720223423</v>
      </c>
      <c r="W13" s="20">
        <f t="shared" si="4"/>
        <v>1762.4367992245768</v>
      </c>
      <c r="X13" s="19">
        <f t="shared" si="4"/>
        <v>1938.6804791470345</v>
      </c>
      <c r="Y13" s="19">
        <f t="shared" si="4"/>
        <v>2132.5485270617382</v>
      </c>
      <c r="Z13" s="20">
        <f t="shared" si="4"/>
        <v>2345.8033797679122</v>
      </c>
      <c r="AA13" s="37">
        <f t="shared" si="3"/>
        <v>23184.087177447018</v>
      </c>
    </row>
    <row r="14" spans="1:27" ht="15" x14ac:dyDescent="0.3">
      <c r="A14" s="1"/>
      <c r="B14" s="26" t="s">
        <v>34</v>
      </c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38"/>
    </row>
    <row r="15" spans="1:27" ht="15" x14ac:dyDescent="0.3">
      <c r="A15" s="1"/>
      <c r="B15" s="28" t="s">
        <v>2</v>
      </c>
      <c r="C15" s="29">
        <v>350</v>
      </c>
      <c r="D15" s="29">
        <v>350</v>
      </c>
      <c r="E15" s="29">
        <v>350</v>
      </c>
      <c r="F15" s="29">
        <v>350</v>
      </c>
      <c r="G15" s="29">
        <v>350</v>
      </c>
      <c r="H15" s="29">
        <v>350</v>
      </c>
      <c r="I15" s="29">
        <v>350</v>
      </c>
      <c r="J15" s="29">
        <v>350</v>
      </c>
      <c r="K15" s="29">
        <v>350</v>
      </c>
      <c r="L15" s="29">
        <v>350</v>
      </c>
      <c r="M15" s="29">
        <v>350</v>
      </c>
      <c r="N15" s="29">
        <v>350</v>
      </c>
      <c r="O15" s="29">
        <v>350</v>
      </c>
      <c r="P15" s="29">
        <v>350</v>
      </c>
      <c r="Q15" s="29">
        <v>350</v>
      </c>
      <c r="R15" s="29">
        <v>350</v>
      </c>
      <c r="S15" s="29">
        <v>350</v>
      </c>
      <c r="T15" s="29">
        <v>350</v>
      </c>
      <c r="U15" s="29">
        <v>350</v>
      </c>
      <c r="V15" s="29">
        <v>350</v>
      </c>
      <c r="W15" s="29">
        <v>350</v>
      </c>
      <c r="X15" s="29">
        <v>350</v>
      </c>
      <c r="Y15" s="29">
        <v>350</v>
      </c>
      <c r="Z15" s="29">
        <v>350</v>
      </c>
      <c r="AA15" s="55"/>
    </row>
    <row r="16" spans="1:27" ht="15" x14ac:dyDescent="0.3">
      <c r="A16" s="1"/>
      <c r="B16" s="28" t="s">
        <v>3</v>
      </c>
      <c r="C16" s="30">
        <v>0</v>
      </c>
      <c r="D16" s="30">
        <v>0</v>
      </c>
      <c r="E16" s="16">
        <v>0</v>
      </c>
      <c r="F16" s="30">
        <v>0</v>
      </c>
      <c r="G16" s="30">
        <v>0</v>
      </c>
      <c r="H16" s="16">
        <v>0</v>
      </c>
      <c r="I16" s="30">
        <v>0</v>
      </c>
      <c r="J16" s="30">
        <v>0</v>
      </c>
      <c r="K16" s="16">
        <v>0</v>
      </c>
      <c r="L16" s="30">
        <v>0</v>
      </c>
      <c r="M16" s="30">
        <v>0</v>
      </c>
      <c r="N16" s="16">
        <v>0</v>
      </c>
      <c r="O16" s="30">
        <v>0</v>
      </c>
      <c r="P16" s="30">
        <v>0</v>
      </c>
      <c r="Q16" s="16">
        <v>0</v>
      </c>
      <c r="R16" s="30">
        <v>0</v>
      </c>
      <c r="S16" s="30">
        <v>0</v>
      </c>
      <c r="T16" s="16">
        <v>0</v>
      </c>
      <c r="U16" s="30">
        <v>0</v>
      </c>
      <c r="V16" s="30">
        <v>0</v>
      </c>
      <c r="W16" s="16">
        <v>0</v>
      </c>
      <c r="X16" s="30">
        <v>0</v>
      </c>
      <c r="Y16" s="30">
        <v>0</v>
      </c>
      <c r="Z16" s="16">
        <v>0</v>
      </c>
      <c r="AA16" s="56"/>
    </row>
    <row r="17" spans="1:27" ht="15" x14ac:dyDescent="0.3">
      <c r="A17" s="1"/>
      <c r="B17" s="31" t="s">
        <v>4</v>
      </c>
      <c r="C17" s="32">
        <f t="shared" ref="C17:Z17" si="5">C15-(C15*C16/100)</f>
        <v>350</v>
      </c>
      <c r="D17" s="32">
        <f t="shared" si="5"/>
        <v>350</v>
      </c>
      <c r="E17" s="17">
        <f t="shared" si="5"/>
        <v>350</v>
      </c>
      <c r="F17" s="32">
        <f t="shared" si="5"/>
        <v>350</v>
      </c>
      <c r="G17" s="32">
        <f t="shared" si="5"/>
        <v>350</v>
      </c>
      <c r="H17" s="17">
        <f t="shared" si="5"/>
        <v>350</v>
      </c>
      <c r="I17" s="32">
        <f t="shared" si="5"/>
        <v>350</v>
      </c>
      <c r="J17" s="32">
        <f t="shared" si="5"/>
        <v>350</v>
      </c>
      <c r="K17" s="17">
        <f t="shared" si="5"/>
        <v>350</v>
      </c>
      <c r="L17" s="32">
        <f t="shared" si="5"/>
        <v>350</v>
      </c>
      <c r="M17" s="32">
        <f t="shared" si="5"/>
        <v>350</v>
      </c>
      <c r="N17" s="17">
        <f t="shared" si="5"/>
        <v>350</v>
      </c>
      <c r="O17" s="32">
        <f t="shared" si="5"/>
        <v>350</v>
      </c>
      <c r="P17" s="32">
        <f t="shared" si="5"/>
        <v>350</v>
      </c>
      <c r="Q17" s="17">
        <f t="shared" si="5"/>
        <v>350</v>
      </c>
      <c r="R17" s="32">
        <f t="shared" si="5"/>
        <v>350</v>
      </c>
      <c r="S17" s="32">
        <f t="shared" si="5"/>
        <v>350</v>
      </c>
      <c r="T17" s="17">
        <f t="shared" si="5"/>
        <v>350</v>
      </c>
      <c r="U17" s="32">
        <f t="shared" si="5"/>
        <v>350</v>
      </c>
      <c r="V17" s="32">
        <f t="shared" si="5"/>
        <v>350</v>
      </c>
      <c r="W17" s="17">
        <f t="shared" si="5"/>
        <v>350</v>
      </c>
      <c r="X17" s="32">
        <f t="shared" si="5"/>
        <v>350</v>
      </c>
      <c r="Y17" s="32">
        <f t="shared" si="5"/>
        <v>350</v>
      </c>
      <c r="Z17" s="17">
        <f t="shared" si="5"/>
        <v>350</v>
      </c>
      <c r="AA17" s="56"/>
    </row>
    <row r="18" spans="1:27" ht="15" x14ac:dyDescent="0.3">
      <c r="A18" s="1"/>
      <c r="B18" s="28" t="s">
        <v>5</v>
      </c>
      <c r="C18" s="30">
        <v>20</v>
      </c>
      <c r="D18" s="30">
        <v>20</v>
      </c>
      <c r="E18" s="30">
        <v>20</v>
      </c>
      <c r="F18" s="30">
        <v>20</v>
      </c>
      <c r="G18" s="30">
        <v>20</v>
      </c>
      <c r="H18" s="30">
        <v>20</v>
      </c>
      <c r="I18" s="30">
        <v>20</v>
      </c>
      <c r="J18" s="30">
        <v>20</v>
      </c>
      <c r="K18" s="30">
        <v>20</v>
      </c>
      <c r="L18" s="30">
        <v>20</v>
      </c>
      <c r="M18" s="30">
        <v>20</v>
      </c>
      <c r="N18" s="30">
        <v>20</v>
      </c>
      <c r="O18" s="30">
        <v>20</v>
      </c>
      <c r="P18" s="30">
        <v>20</v>
      </c>
      <c r="Q18" s="30">
        <v>20</v>
      </c>
      <c r="R18" s="30">
        <v>20</v>
      </c>
      <c r="S18" s="30">
        <v>20</v>
      </c>
      <c r="T18" s="30">
        <v>20</v>
      </c>
      <c r="U18" s="30">
        <v>20</v>
      </c>
      <c r="V18" s="30">
        <v>20</v>
      </c>
      <c r="W18" s="30">
        <v>20</v>
      </c>
      <c r="X18" s="30">
        <v>20</v>
      </c>
      <c r="Y18" s="30">
        <v>20</v>
      </c>
      <c r="Z18" s="30">
        <v>20</v>
      </c>
      <c r="AA18" s="56"/>
    </row>
    <row r="19" spans="1:27" ht="15" x14ac:dyDescent="0.3">
      <c r="A19" s="1"/>
      <c r="B19" s="31" t="s">
        <v>6</v>
      </c>
      <c r="C19" s="32">
        <f t="shared" ref="C19:Z19" si="6">C17-(C17*C18/100)</f>
        <v>280</v>
      </c>
      <c r="D19" s="32">
        <f t="shared" si="6"/>
        <v>280</v>
      </c>
      <c r="E19" s="17">
        <f t="shared" si="6"/>
        <v>280</v>
      </c>
      <c r="F19" s="32">
        <f t="shared" si="6"/>
        <v>280</v>
      </c>
      <c r="G19" s="32">
        <f t="shared" si="6"/>
        <v>280</v>
      </c>
      <c r="H19" s="17">
        <f t="shared" si="6"/>
        <v>280</v>
      </c>
      <c r="I19" s="32">
        <f t="shared" si="6"/>
        <v>280</v>
      </c>
      <c r="J19" s="32">
        <f t="shared" si="6"/>
        <v>280</v>
      </c>
      <c r="K19" s="17">
        <f t="shared" si="6"/>
        <v>280</v>
      </c>
      <c r="L19" s="32">
        <f t="shared" si="6"/>
        <v>280</v>
      </c>
      <c r="M19" s="32">
        <f t="shared" si="6"/>
        <v>280</v>
      </c>
      <c r="N19" s="17">
        <f t="shared" si="6"/>
        <v>280</v>
      </c>
      <c r="O19" s="32">
        <f t="shared" si="6"/>
        <v>280</v>
      </c>
      <c r="P19" s="32">
        <f t="shared" si="6"/>
        <v>280</v>
      </c>
      <c r="Q19" s="17">
        <f t="shared" si="6"/>
        <v>280</v>
      </c>
      <c r="R19" s="32">
        <f t="shared" si="6"/>
        <v>280</v>
      </c>
      <c r="S19" s="32">
        <f t="shared" si="6"/>
        <v>280</v>
      </c>
      <c r="T19" s="17">
        <f t="shared" si="6"/>
        <v>280</v>
      </c>
      <c r="U19" s="32">
        <f t="shared" si="6"/>
        <v>280</v>
      </c>
      <c r="V19" s="32">
        <f t="shared" si="6"/>
        <v>280</v>
      </c>
      <c r="W19" s="17">
        <f t="shared" si="6"/>
        <v>280</v>
      </c>
      <c r="X19" s="32">
        <f t="shared" si="6"/>
        <v>280</v>
      </c>
      <c r="Y19" s="32">
        <f t="shared" si="6"/>
        <v>280</v>
      </c>
      <c r="Z19" s="17">
        <f t="shared" si="6"/>
        <v>280</v>
      </c>
      <c r="AA19" s="56"/>
    </row>
    <row r="20" spans="1:27" ht="15" x14ac:dyDescent="0.3">
      <c r="A20" s="1"/>
      <c r="B20" s="33" t="s">
        <v>7</v>
      </c>
      <c r="C20" s="34">
        <v>1</v>
      </c>
      <c r="D20" s="34">
        <v>2</v>
      </c>
      <c r="E20" s="18">
        <v>3</v>
      </c>
      <c r="F20" s="34">
        <v>5</v>
      </c>
      <c r="G20" s="34">
        <v>8</v>
      </c>
      <c r="H20" s="18">
        <v>11</v>
      </c>
      <c r="I20" s="34">
        <v>15</v>
      </c>
      <c r="J20" s="34">
        <v>0</v>
      </c>
      <c r="K20" s="18">
        <v>18</v>
      </c>
      <c r="L20" s="34">
        <v>20</v>
      </c>
      <c r="M20" s="34">
        <v>20</v>
      </c>
      <c r="N20" s="34">
        <v>20</v>
      </c>
      <c r="O20" s="34">
        <v>20</v>
      </c>
      <c r="P20" s="34">
        <v>20</v>
      </c>
      <c r="Q20" s="34">
        <v>20</v>
      </c>
      <c r="R20" s="34">
        <v>20</v>
      </c>
      <c r="S20" s="34">
        <v>20</v>
      </c>
      <c r="T20" s="34">
        <v>20</v>
      </c>
      <c r="U20" s="34">
        <v>20</v>
      </c>
      <c r="V20" s="34">
        <v>20</v>
      </c>
      <c r="W20" s="34">
        <v>20</v>
      </c>
      <c r="X20" s="34">
        <v>20</v>
      </c>
      <c r="Y20" s="34">
        <v>20</v>
      </c>
      <c r="Z20" s="34">
        <v>20</v>
      </c>
      <c r="AA20" s="35">
        <f t="shared" ref="AA20:AA21" si="7">SUM(C20:Z20)</f>
        <v>363</v>
      </c>
    </row>
    <row r="21" spans="1:27" thickBot="1" x14ac:dyDescent="0.35">
      <c r="A21" s="1"/>
      <c r="B21" s="36" t="s">
        <v>9</v>
      </c>
      <c r="C21" s="19">
        <f t="shared" ref="C21:Z21" si="8">C19*C20</f>
        <v>280</v>
      </c>
      <c r="D21" s="19">
        <f t="shared" si="8"/>
        <v>560</v>
      </c>
      <c r="E21" s="20">
        <f t="shared" si="8"/>
        <v>840</v>
      </c>
      <c r="F21" s="19">
        <f t="shared" si="8"/>
        <v>1400</v>
      </c>
      <c r="G21" s="19">
        <f t="shared" si="8"/>
        <v>2240</v>
      </c>
      <c r="H21" s="20">
        <f t="shared" si="8"/>
        <v>3080</v>
      </c>
      <c r="I21" s="19">
        <f t="shared" si="8"/>
        <v>4200</v>
      </c>
      <c r="J21" s="19">
        <f t="shared" si="8"/>
        <v>0</v>
      </c>
      <c r="K21" s="20">
        <f t="shared" si="8"/>
        <v>5040</v>
      </c>
      <c r="L21" s="19">
        <f t="shared" si="8"/>
        <v>5600</v>
      </c>
      <c r="M21" s="19">
        <f t="shared" si="8"/>
        <v>5600</v>
      </c>
      <c r="N21" s="20">
        <f t="shared" si="8"/>
        <v>5600</v>
      </c>
      <c r="O21" s="19">
        <f t="shared" si="8"/>
        <v>5600</v>
      </c>
      <c r="P21" s="19">
        <f t="shared" si="8"/>
        <v>5600</v>
      </c>
      <c r="Q21" s="20">
        <f t="shared" si="8"/>
        <v>5600</v>
      </c>
      <c r="R21" s="19">
        <f t="shared" si="8"/>
        <v>5600</v>
      </c>
      <c r="S21" s="19">
        <f t="shared" si="8"/>
        <v>5600</v>
      </c>
      <c r="T21" s="20">
        <f t="shared" si="8"/>
        <v>5600</v>
      </c>
      <c r="U21" s="19">
        <f t="shared" si="8"/>
        <v>5600</v>
      </c>
      <c r="V21" s="19">
        <f t="shared" si="8"/>
        <v>5600</v>
      </c>
      <c r="W21" s="20">
        <f t="shared" si="8"/>
        <v>5600</v>
      </c>
      <c r="X21" s="19">
        <f t="shared" si="8"/>
        <v>5600</v>
      </c>
      <c r="Y21" s="19">
        <f t="shared" si="8"/>
        <v>5600</v>
      </c>
      <c r="Z21" s="20">
        <f t="shared" si="8"/>
        <v>5600</v>
      </c>
      <c r="AA21" s="37">
        <f t="shared" si="7"/>
        <v>101640</v>
      </c>
    </row>
    <row r="22" spans="1:27" ht="15" hidden="1" x14ac:dyDescent="0.3">
      <c r="A22" s="1"/>
      <c r="B22" s="26" t="s">
        <v>10</v>
      </c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38"/>
    </row>
    <row r="23" spans="1:27" ht="15" hidden="1" x14ac:dyDescent="0.3">
      <c r="A23" s="1"/>
      <c r="B23" s="28" t="s">
        <v>2</v>
      </c>
      <c r="C23" s="29">
        <v>0</v>
      </c>
      <c r="D23" s="29">
        <v>0</v>
      </c>
      <c r="E23" s="15">
        <v>0</v>
      </c>
      <c r="F23" s="29">
        <v>0</v>
      </c>
      <c r="G23" s="29">
        <v>0</v>
      </c>
      <c r="H23" s="15">
        <v>0</v>
      </c>
      <c r="I23" s="29">
        <v>0</v>
      </c>
      <c r="J23" s="29">
        <v>0</v>
      </c>
      <c r="K23" s="15">
        <v>0</v>
      </c>
      <c r="L23" s="29">
        <v>0</v>
      </c>
      <c r="M23" s="29">
        <v>0</v>
      </c>
      <c r="N23" s="15">
        <v>0</v>
      </c>
      <c r="O23" s="29">
        <v>0</v>
      </c>
      <c r="P23" s="29">
        <v>0</v>
      </c>
      <c r="Q23" s="15">
        <v>0</v>
      </c>
      <c r="R23" s="29">
        <v>0</v>
      </c>
      <c r="S23" s="29">
        <v>0</v>
      </c>
      <c r="T23" s="15">
        <v>0</v>
      </c>
      <c r="U23" s="29">
        <v>0</v>
      </c>
      <c r="V23" s="29">
        <v>0</v>
      </c>
      <c r="W23" s="15">
        <v>0</v>
      </c>
      <c r="X23" s="29">
        <v>0</v>
      </c>
      <c r="Y23" s="29">
        <v>0</v>
      </c>
      <c r="Z23" s="15">
        <v>0</v>
      </c>
      <c r="AA23" s="55"/>
    </row>
    <row r="24" spans="1:27" ht="15" hidden="1" x14ac:dyDescent="0.3">
      <c r="A24" s="1"/>
      <c r="B24" s="28" t="s">
        <v>3</v>
      </c>
      <c r="C24" s="30">
        <v>0</v>
      </c>
      <c r="D24" s="30">
        <v>0</v>
      </c>
      <c r="E24" s="16">
        <v>0</v>
      </c>
      <c r="F24" s="30">
        <v>0</v>
      </c>
      <c r="G24" s="30">
        <v>0</v>
      </c>
      <c r="H24" s="16">
        <v>0</v>
      </c>
      <c r="I24" s="30">
        <v>0</v>
      </c>
      <c r="J24" s="30">
        <v>0</v>
      </c>
      <c r="K24" s="16">
        <v>0</v>
      </c>
      <c r="L24" s="30">
        <v>0</v>
      </c>
      <c r="M24" s="30">
        <v>0</v>
      </c>
      <c r="N24" s="16">
        <v>0</v>
      </c>
      <c r="O24" s="30">
        <v>0</v>
      </c>
      <c r="P24" s="30">
        <v>0</v>
      </c>
      <c r="Q24" s="16">
        <v>0</v>
      </c>
      <c r="R24" s="30">
        <v>0</v>
      </c>
      <c r="S24" s="30">
        <v>0</v>
      </c>
      <c r="T24" s="16">
        <v>0</v>
      </c>
      <c r="U24" s="30">
        <v>0</v>
      </c>
      <c r="V24" s="30">
        <v>0</v>
      </c>
      <c r="W24" s="16">
        <v>0</v>
      </c>
      <c r="X24" s="30">
        <v>0</v>
      </c>
      <c r="Y24" s="30">
        <v>0</v>
      </c>
      <c r="Z24" s="16">
        <v>0</v>
      </c>
      <c r="AA24" s="56"/>
    </row>
    <row r="25" spans="1:27" ht="15" hidden="1" x14ac:dyDescent="0.3">
      <c r="A25" s="1"/>
      <c r="B25" s="31" t="s">
        <v>4</v>
      </c>
      <c r="C25" s="32">
        <f t="shared" ref="C25:Z25" si="9">C23-(C23*C24/100)</f>
        <v>0</v>
      </c>
      <c r="D25" s="32">
        <f t="shared" si="9"/>
        <v>0</v>
      </c>
      <c r="E25" s="17">
        <f t="shared" si="9"/>
        <v>0</v>
      </c>
      <c r="F25" s="32">
        <f t="shared" si="9"/>
        <v>0</v>
      </c>
      <c r="G25" s="32">
        <f t="shared" si="9"/>
        <v>0</v>
      </c>
      <c r="H25" s="17">
        <f t="shared" si="9"/>
        <v>0</v>
      </c>
      <c r="I25" s="32">
        <f t="shared" si="9"/>
        <v>0</v>
      </c>
      <c r="J25" s="32">
        <f t="shared" si="9"/>
        <v>0</v>
      </c>
      <c r="K25" s="17">
        <f t="shared" si="9"/>
        <v>0</v>
      </c>
      <c r="L25" s="32">
        <f t="shared" si="9"/>
        <v>0</v>
      </c>
      <c r="M25" s="32">
        <f t="shared" si="9"/>
        <v>0</v>
      </c>
      <c r="N25" s="17">
        <f t="shared" si="9"/>
        <v>0</v>
      </c>
      <c r="O25" s="32">
        <f t="shared" si="9"/>
        <v>0</v>
      </c>
      <c r="P25" s="32">
        <f t="shared" si="9"/>
        <v>0</v>
      </c>
      <c r="Q25" s="17">
        <f t="shared" si="9"/>
        <v>0</v>
      </c>
      <c r="R25" s="32">
        <f t="shared" si="9"/>
        <v>0</v>
      </c>
      <c r="S25" s="32">
        <f t="shared" si="9"/>
        <v>0</v>
      </c>
      <c r="T25" s="17">
        <f t="shared" si="9"/>
        <v>0</v>
      </c>
      <c r="U25" s="32">
        <f t="shared" si="9"/>
        <v>0</v>
      </c>
      <c r="V25" s="32">
        <f t="shared" si="9"/>
        <v>0</v>
      </c>
      <c r="W25" s="17">
        <f t="shared" si="9"/>
        <v>0</v>
      </c>
      <c r="X25" s="32">
        <f t="shared" si="9"/>
        <v>0</v>
      </c>
      <c r="Y25" s="32">
        <f t="shared" si="9"/>
        <v>0</v>
      </c>
      <c r="Z25" s="17">
        <f t="shared" si="9"/>
        <v>0</v>
      </c>
      <c r="AA25" s="56"/>
    </row>
    <row r="26" spans="1:27" ht="15" hidden="1" x14ac:dyDescent="0.3">
      <c r="A26" s="1"/>
      <c r="B26" s="28" t="s">
        <v>5</v>
      </c>
      <c r="C26" s="30">
        <v>0</v>
      </c>
      <c r="D26" s="30">
        <v>0</v>
      </c>
      <c r="E26" s="16">
        <v>0</v>
      </c>
      <c r="F26" s="30">
        <v>0</v>
      </c>
      <c r="G26" s="30">
        <v>0</v>
      </c>
      <c r="H26" s="16">
        <v>0</v>
      </c>
      <c r="I26" s="30">
        <v>0</v>
      </c>
      <c r="J26" s="30">
        <v>0</v>
      </c>
      <c r="K26" s="16">
        <v>0</v>
      </c>
      <c r="L26" s="30">
        <v>0</v>
      </c>
      <c r="M26" s="30">
        <v>0</v>
      </c>
      <c r="N26" s="16">
        <v>0</v>
      </c>
      <c r="O26" s="30">
        <v>0</v>
      </c>
      <c r="P26" s="30">
        <v>0</v>
      </c>
      <c r="Q26" s="16">
        <v>0</v>
      </c>
      <c r="R26" s="30">
        <v>0</v>
      </c>
      <c r="S26" s="30">
        <v>0</v>
      </c>
      <c r="T26" s="16">
        <v>0</v>
      </c>
      <c r="U26" s="30">
        <v>0</v>
      </c>
      <c r="V26" s="30">
        <v>0</v>
      </c>
      <c r="W26" s="16">
        <v>0</v>
      </c>
      <c r="X26" s="30">
        <v>0</v>
      </c>
      <c r="Y26" s="30">
        <v>0</v>
      </c>
      <c r="Z26" s="16">
        <v>0</v>
      </c>
      <c r="AA26" s="56"/>
    </row>
    <row r="27" spans="1:27" ht="15" hidden="1" x14ac:dyDescent="0.3">
      <c r="A27" s="1"/>
      <c r="B27" s="31" t="s">
        <v>6</v>
      </c>
      <c r="C27" s="32">
        <f t="shared" ref="C27:Z27" si="10">C25-(C25*C26/100)</f>
        <v>0</v>
      </c>
      <c r="D27" s="32">
        <f t="shared" si="10"/>
        <v>0</v>
      </c>
      <c r="E27" s="17">
        <f t="shared" si="10"/>
        <v>0</v>
      </c>
      <c r="F27" s="32">
        <f t="shared" si="10"/>
        <v>0</v>
      </c>
      <c r="G27" s="32">
        <f t="shared" si="10"/>
        <v>0</v>
      </c>
      <c r="H27" s="17">
        <f t="shared" si="10"/>
        <v>0</v>
      </c>
      <c r="I27" s="32">
        <f t="shared" si="10"/>
        <v>0</v>
      </c>
      <c r="J27" s="32">
        <f t="shared" si="10"/>
        <v>0</v>
      </c>
      <c r="K27" s="17">
        <f t="shared" si="10"/>
        <v>0</v>
      </c>
      <c r="L27" s="32">
        <f t="shared" si="10"/>
        <v>0</v>
      </c>
      <c r="M27" s="32">
        <f t="shared" si="10"/>
        <v>0</v>
      </c>
      <c r="N27" s="17">
        <f t="shared" si="10"/>
        <v>0</v>
      </c>
      <c r="O27" s="32">
        <f t="shared" si="10"/>
        <v>0</v>
      </c>
      <c r="P27" s="32">
        <f t="shared" si="10"/>
        <v>0</v>
      </c>
      <c r="Q27" s="17">
        <f t="shared" si="10"/>
        <v>0</v>
      </c>
      <c r="R27" s="32">
        <f t="shared" si="10"/>
        <v>0</v>
      </c>
      <c r="S27" s="32">
        <f t="shared" si="10"/>
        <v>0</v>
      </c>
      <c r="T27" s="17">
        <f t="shared" si="10"/>
        <v>0</v>
      </c>
      <c r="U27" s="32">
        <f t="shared" si="10"/>
        <v>0</v>
      </c>
      <c r="V27" s="32">
        <f t="shared" si="10"/>
        <v>0</v>
      </c>
      <c r="W27" s="17">
        <f t="shared" si="10"/>
        <v>0</v>
      </c>
      <c r="X27" s="32">
        <f t="shared" si="10"/>
        <v>0</v>
      </c>
      <c r="Y27" s="32">
        <f t="shared" si="10"/>
        <v>0</v>
      </c>
      <c r="Z27" s="17">
        <f t="shared" si="10"/>
        <v>0</v>
      </c>
      <c r="AA27" s="56"/>
    </row>
    <row r="28" spans="1:27" ht="15" hidden="1" x14ac:dyDescent="0.3">
      <c r="A28" s="1"/>
      <c r="B28" s="33" t="s">
        <v>7</v>
      </c>
      <c r="C28" s="34">
        <v>0</v>
      </c>
      <c r="D28" s="34">
        <v>0</v>
      </c>
      <c r="E28" s="18">
        <v>0</v>
      </c>
      <c r="F28" s="34">
        <v>0</v>
      </c>
      <c r="G28" s="34">
        <v>0</v>
      </c>
      <c r="H28" s="18">
        <v>0</v>
      </c>
      <c r="I28" s="34">
        <v>0</v>
      </c>
      <c r="J28" s="34">
        <v>0</v>
      </c>
      <c r="K28" s="18">
        <v>0</v>
      </c>
      <c r="L28" s="34">
        <v>0</v>
      </c>
      <c r="M28" s="34">
        <v>0</v>
      </c>
      <c r="N28" s="18">
        <v>0</v>
      </c>
      <c r="O28" s="34">
        <v>0</v>
      </c>
      <c r="P28" s="34">
        <v>0</v>
      </c>
      <c r="Q28" s="18">
        <v>0</v>
      </c>
      <c r="R28" s="34">
        <v>0</v>
      </c>
      <c r="S28" s="34">
        <v>0</v>
      </c>
      <c r="T28" s="18">
        <v>0</v>
      </c>
      <c r="U28" s="34">
        <v>0</v>
      </c>
      <c r="V28" s="34">
        <v>0</v>
      </c>
      <c r="W28" s="18">
        <v>0</v>
      </c>
      <c r="X28" s="34">
        <v>0</v>
      </c>
      <c r="Y28" s="34">
        <v>0</v>
      </c>
      <c r="Z28" s="18">
        <v>0</v>
      </c>
      <c r="AA28" s="35">
        <f t="shared" ref="AA28:AA31" si="11">SUM(C28:Z28)</f>
        <v>0</v>
      </c>
    </row>
    <row r="29" spans="1:27" hidden="1" thickBot="1" x14ac:dyDescent="0.35">
      <c r="A29" s="1"/>
      <c r="B29" s="31" t="s">
        <v>11</v>
      </c>
      <c r="C29" s="39">
        <f t="shared" ref="C29:Z29" si="12">C27*C28</f>
        <v>0</v>
      </c>
      <c r="D29" s="39">
        <f t="shared" si="12"/>
        <v>0</v>
      </c>
      <c r="E29" s="21">
        <f t="shared" si="12"/>
        <v>0</v>
      </c>
      <c r="F29" s="39">
        <f t="shared" si="12"/>
        <v>0</v>
      </c>
      <c r="G29" s="39">
        <f t="shared" si="12"/>
        <v>0</v>
      </c>
      <c r="H29" s="21">
        <f t="shared" si="12"/>
        <v>0</v>
      </c>
      <c r="I29" s="39">
        <f t="shared" si="12"/>
        <v>0</v>
      </c>
      <c r="J29" s="39">
        <f t="shared" si="12"/>
        <v>0</v>
      </c>
      <c r="K29" s="21">
        <f t="shared" si="12"/>
        <v>0</v>
      </c>
      <c r="L29" s="39">
        <f t="shared" si="12"/>
        <v>0</v>
      </c>
      <c r="M29" s="39">
        <f t="shared" si="12"/>
        <v>0</v>
      </c>
      <c r="N29" s="21">
        <f t="shared" si="12"/>
        <v>0</v>
      </c>
      <c r="O29" s="39">
        <f t="shared" si="12"/>
        <v>0</v>
      </c>
      <c r="P29" s="39">
        <f t="shared" si="12"/>
        <v>0</v>
      </c>
      <c r="Q29" s="21">
        <f t="shared" si="12"/>
        <v>0</v>
      </c>
      <c r="R29" s="39">
        <f t="shared" si="12"/>
        <v>0</v>
      </c>
      <c r="S29" s="39">
        <f t="shared" si="12"/>
        <v>0</v>
      </c>
      <c r="T29" s="21">
        <f t="shared" si="12"/>
        <v>0</v>
      </c>
      <c r="U29" s="39">
        <f t="shared" si="12"/>
        <v>0</v>
      </c>
      <c r="V29" s="39">
        <f t="shared" si="12"/>
        <v>0</v>
      </c>
      <c r="W29" s="21">
        <f t="shared" si="12"/>
        <v>0</v>
      </c>
      <c r="X29" s="39">
        <f t="shared" si="12"/>
        <v>0</v>
      </c>
      <c r="Y29" s="39">
        <f t="shared" si="12"/>
        <v>0</v>
      </c>
      <c r="Z29" s="21">
        <f t="shared" si="12"/>
        <v>0</v>
      </c>
      <c r="AA29" s="40">
        <f t="shared" si="11"/>
        <v>0</v>
      </c>
    </row>
    <row r="30" spans="1:27" thickTop="1" x14ac:dyDescent="0.3">
      <c r="A30" s="1"/>
      <c r="B30" s="41" t="s">
        <v>12</v>
      </c>
      <c r="C30" s="6">
        <f t="shared" ref="C30:Z30" si="13">C28+C20+C12</f>
        <v>76</v>
      </c>
      <c r="D30" s="6">
        <f t="shared" si="13"/>
        <v>84.5</v>
      </c>
      <c r="E30" s="7">
        <f t="shared" si="13"/>
        <v>93.750000000000014</v>
      </c>
      <c r="F30" s="6">
        <f t="shared" si="13"/>
        <v>104.82500000000002</v>
      </c>
      <c r="G30" s="6">
        <f t="shared" si="13"/>
        <v>117.80750000000003</v>
      </c>
      <c r="H30" s="7">
        <f t="shared" si="13"/>
        <v>131.78825000000006</v>
      </c>
      <c r="I30" s="6">
        <f t="shared" si="13"/>
        <v>147.86707500000006</v>
      </c>
      <c r="J30" s="6">
        <f t="shared" si="13"/>
        <v>146.15378250000006</v>
      </c>
      <c r="K30" s="7">
        <f t="shared" si="13"/>
        <v>178.76916075000008</v>
      </c>
      <c r="L30" s="6">
        <f t="shared" si="13"/>
        <v>196.8460768250001</v>
      </c>
      <c r="M30" s="6">
        <f t="shared" si="13"/>
        <v>214.53068450750013</v>
      </c>
      <c r="N30" s="7">
        <f t="shared" si="13"/>
        <v>233.98375295825016</v>
      </c>
      <c r="O30" s="6">
        <f t="shared" si="13"/>
        <v>255.38212825407521</v>
      </c>
      <c r="P30" s="6">
        <f t="shared" si="13"/>
        <v>278.92034107948274</v>
      </c>
      <c r="Q30" s="7">
        <f t="shared" si="13"/>
        <v>304.81237518743103</v>
      </c>
      <c r="R30" s="6">
        <f t="shared" si="13"/>
        <v>333.29361270617414</v>
      </c>
      <c r="S30" s="6">
        <f t="shared" si="13"/>
        <v>364.62297397679157</v>
      </c>
      <c r="T30" s="7">
        <f t="shared" si="13"/>
        <v>399.08527137447078</v>
      </c>
      <c r="U30" s="6">
        <f t="shared" si="13"/>
        <v>436.99379851191787</v>
      </c>
      <c r="V30" s="6">
        <f t="shared" si="13"/>
        <v>478.69317836310972</v>
      </c>
      <c r="W30" s="7">
        <f t="shared" si="13"/>
        <v>524.56249619942082</v>
      </c>
      <c r="X30" s="6">
        <f t="shared" si="13"/>
        <v>575.01874581936283</v>
      </c>
      <c r="Y30" s="6">
        <f t="shared" si="13"/>
        <v>630.5206204012992</v>
      </c>
      <c r="Z30" s="7">
        <f t="shared" si="13"/>
        <v>691.57268244142915</v>
      </c>
      <c r="AA30" s="42">
        <f t="shared" si="11"/>
        <v>7000.2995068557157</v>
      </c>
    </row>
    <row r="31" spans="1:27" ht="15" x14ac:dyDescent="0.3">
      <c r="A31" s="1"/>
      <c r="B31" s="43" t="s">
        <v>13</v>
      </c>
      <c r="C31" s="44">
        <f t="shared" ref="C31:Z31" si="14">C13+C21+C29</f>
        <v>541.97500000000002</v>
      </c>
      <c r="D31" s="44">
        <f t="shared" si="14"/>
        <v>848.17250000000001</v>
      </c>
      <c r="E31" s="8">
        <f t="shared" si="14"/>
        <v>1156.9897500000002</v>
      </c>
      <c r="F31" s="44">
        <f t="shared" si="14"/>
        <v>1748.688725</v>
      </c>
      <c r="G31" s="44">
        <f t="shared" si="14"/>
        <v>2623.5575975000002</v>
      </c>
      <c r="H31" s="8">
        <f t="shared" si="14"/>
        <v>3501.9133572500004</v>
      </c>
      <c r="I31" s="44">
        <f t="shared" si="14"/>
        <v>4664.104692975</v>
      </c>
      <c r="J31" s="44">
        <f t="shared" si="14"/>
        <v>510.51516227250028</v>
      </c>
      <c r="K31" s="8">
        <f t="shared" si="14"/>
        <v>5601.5666784997502</v>
      </c>
      <c r="L31" s="44">
        <f t="shared" si="14"/>
        <v>6217.723346349725</v>
      </c>
      <c r="M31" s="44">
        <f t="shared" si="14"/>
        <v>6279.4956809846981</v>
      </c>
      <c r="N31" s="8">
        <f t="shared" si="14"/>
        <v>6347.4452490831682</v>
      </c>
      <c r="O31" s="44">
        <f t="shared" si="14"/>
        <v>6422.1897739914848</v>
      </c>
      <c r="P31" s="44">
        <f t="shared" si="14"/>
        <v>6504.4087513906334</v>
      </c>
      <c r="Q31" s="8">
        <f t="shared" si="14"/>
        <v>6594.8496265296963</v>
      </c>
      <c r="R31" s="44">
        <f t="shared" si="14"/>
        <v>6694.3345891826666</v>
      </c>
      <c r="S31" s="44">
        <f t="shared" si="14"/>
        <v>6803.7680481009329</v>
      </c>
      <c r="T31" s="8">
        <f t="shared" si="14"/>
        <v>6924.1448529110266</v>
      </c>
      <c r="U31" s="44">
        <f t="shared" si="14"/>
        <v>7056.5593382021289</v>
      </c>
      <c r="V31" s="44">
        <f t="shared" si="14"/>
        <v>7202.2152720223421</v>
      </c>
      <c r="W31" s="8">
        <f t="shared" si="14"/>
        <v>7362.436799224577</v>
      </c>
      <c r="X31" s="44">
        <f t="shared" si="14"/>
        <v>7538.6804791470349</v>
      </c>
      <c r="Y31" s="44">
        <f t="shared" si="14"/>
        <v>7732.5485270617382</v>
      </c>
      <c r="Z31" s="8">
        <f t="shared" si="14"/>
        <v>7945.8033797679127</v>
      </c>
      <c r="AA31" s="45">
        <f t="shared" si="11"/>
        <v>124824.087177447</v>
      </c>
    </row>
    <row r="32" spans="1:27" thickBot="1" x14ac:dyDescent="0.35">
      <c r="A32" s="1"/>
      <c r="B32" s="46" t="s">
        <v>14</v>
      </c>
      <c r="C32" s="47">
        <f>C31</f>
        <v>541.97500000000002</v>
      </c>
      <c r="D32" s="47">
        <f t="shared" ref="D32:Z32" si="15">D31+C32</f>
        <v>1390.1475</v>
      </c>
      <c r="E32" s="48">
        <f t="shared" si="15"/>
        <v>2547.1372500000002</v>
      </c>
      <c r="F32" s="47">
        <f t="shared" si="15"/>
        <v>4295.8259749999997</v>
      </c>
      <c r="G32" s="47">
        <f t="shared" si="15"/>
        <v>6919.3835724999999</v>
      </c>
      <c r="H32" s="48">
        <f t="shared" si="15"/>
        <v>10421.29692975</v>
      </c>
      <c r="I32" s="47">
        <f t="shared" si="15"/>
        <v>15085.401622724999</v>
      </c>
      <c r="J32" s="47">
        <f t="shared" si="15"/>
        <v>15595.9167849975</v>
      </c>
      <c r="K32" s="48">
        <f t="shared" si="15"/>
        <v>21197.48346349725</v>
      </c>
      <c r="L32" s="47">
        <f t="shared" si="15"/>
        <v>27415.206809846975</v>
      </c>
      <c r="M32" s="47">
        <f t="shared" si="15"/>
        <v>33694.702490831674</v>
      </c>
      <c r="N32" s="48">
        <f t="shared" si="15"/>
        <v>40042.147739914843</v>
      </c>
      <c r="O32" s="47">
        <f t="shared" si="15"/>
        <v>46464.337513906328</v>
      </c>
      <c r="P32" s="47">
        <f t="shared" si="15"/>
        <v>52968.746265296963</v>
      </c>
      <c r="Q32" s="48">
        <f t="shared" si="15"/>
        <v>59563.595891826655</v>
      </c>
      <c r="R32" s="47">
        <f t="shared" si="15"/>
        <v>66257.930481009316</v>
      </c>
      <c r="S32" s="47">
        <f t="shared" si="15"/>
        <v>73061.698529110246</v>
      </c>
      <c r="T32" s="48">
        <f t="shared" si="15"/>
        <v>79985.843382021267</v>
      </c>
      <c r="U32" s="47">
        <f t="shared" si="15"/>
        <v>87042.402720223399</v>
      </c>
      <c r="V32" s="47">
        <f t="shared" si="15"/>
        <v>94244.617992245738</v>
      </c>
      <c r="W32" s="48">
        <f t="shared" si="15"/>
        <v>101607.05479147032</v>
      </c>
      <c r="X32" s="47">
        <f t="shared" si="15"/>
        <v>109145.73527061736</v>
      </c>
      <c r="Y32" s="47">
        <f t="shared" si="15"/>
        <v>116878.28379767909</v>
      </c>
      <c r="Z32" s="48">
        <f t="shared" si="15"/>
        <v>124824.087177447</v>
      </c>
      <c r="AA32" s="49"/>
    </row>
    <row r="33" spans="1:27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"/>
      <c r="B35" s="3" t="s">
        <v>15</v>
      </c>
      <c r="C35" s="4" t="s">
        <v>16</v>
      </c>
      <c r="D35" s="50" t="s">
        <v>17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12" customFormat="1" ht="36" customHeight="1" x14ac:dyDescent="0.3">
      <c r="A36" s="9"/>
      <c r="B36" s="10" t="s">
        <v>0</v>
      </c>
      <c r="C36" s="11" t="s">
        <v>18</v>
      </c>
      <c r="D36" s="61" t="s">
        <v>19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12" customFormat="1" ht="36" customHeight="1" x14ac:dyDescent="0.3">
      <c r="A37" s="9"/>
      <c r="B37" s="10" t="s">
        <v>20</v>
      </c>
      <c r="C37" s="11" t="s">
        <v>18</v>
      </c>
      <c r="D37" s="61" t="s">
        <v>21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12" customFormat="1" ht="36" customHeight="1" x14ac:dyDescent="0.3">
      <c r="A38" s="9"/>
      <c r="B38" s="13" t="s">
        <v>2</v>
      </c>
      <c r="C38" s="11" t="s">
        <v>18</v>
      </c>
      <c r="D38" s="63" t="s">
        <v>31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12" customFormat="1" ht="36" customHeight="1" x14ac:dyDescent="0.3">
      <c r="A39" s="9"/>
      <c r="B39" s="10" t="s">
        <v>3</v>
      </c>
      <c r="C39" s="11" t="s">
        <v>18</v>
      </c>
      <c r="D39" s="61" t="s">
        <v>22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12" customFormat="1" ht="36" customHeight="1" x14ac:dyDescent="0.3">
      <c r="A40" s="9"/>
      <c r="B40" s="10" t="s">
        <v>4</v>
      </c>
      <c r="C40" s="14" t="s">
        <v>23</v>
      </c>
      <c r="D40" s="61" t="s">
        <v>24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12" customFormat="1" ht="36" customHeight="1" x14ac:dyDescent="0.3">
      <c r="A41" s="9"/>
      <c r="B41" s="10" t="s">
        <v>25</v>
      </c>
      <c r="C41" s="11" t="s">
        <v>18</v>
      </c>
      <c r="D41" s="61" t="s">
        <v>26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12" customFormat="1" ht="36" customHeight="1" x14ac:dyDescent="0.3">
      <c r="A42" s="9"/>
      <c r="B42" s="10" t="s">
        <v>6</v>
      </c>
      <c r="C42" s="14" t="s">
        <v>23</v>
      </c>
      <c r="D42" s="61" t="s">
        <v>27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12" customFormat="1" ht="36" customHeight="1" x14ac:dyDescent="0.3">
      <c r="A43" s="9"/>
      <c r="B43" s="10" t="s">
        <v>7</v>
      </c>
      <c r="C43" s="11" t="s">
        <v>18</v>
      </c>
      <c r="D43" s="61" t="s">
        <v>28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12" customFormat="1" ht="36" customHeight="1" x14ac:dyDescent="0.3">
      <c r="A44" s="9"/>
      <c r="B44" s="10" t="s">
        <v>29</v>
      </c>
      <c r="C44" s="14" t="s">
        <v>23</v>
      </c>
      <c r="D44" s="61" t="s">
        <v>30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" x14ac:dyDescent="0.3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x14ac:dyDescent="0.3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7">
    <mergeCell ref="D44:P44"/>
    <mergeCell ref="D38:P38"/>
    <mergeCell ref="D36:P36"/>
    <mergeCell ref="D37:P37"/>
    <mergeCell ref="D39:P39"/>
    <mergeCell ref="D40:P40"/>
    <mergeCell ref="D42:P42"/>
    <mergeCell ref="D41:P41"/>
    <mergeCell ref="D43:P43"/>
    <mergeCell ref="D35:P35"/>
    <mergeCell ref="C6:Z6"/>
    <mergeCell ref="AA7:AA11"/>
    <mergeCell ref="B4:B5"/>
    <mergeCell ref="C14:Z14"/>
    <mergeCell ref="AA15:AA19"/>
    <mergeCell ref="AA23:AA27"/>
    <mergeCell ref="C22:Z22"/>
  </mergeCells>
  <pageMargins left="0.70866141732283472" right="0.70866141732283472" top="0.52263888888888888" bottom="0.78740157480314965" header="0.31496062992125984" footer="0.31496062992125984"/>
  <pageSetup paperSize="9" scale="53" orientation="landscape" r:id="rId1"/>
  <headerFooter>
    <oddHeader>&amp;L&amp;9&amp;K000000Take Over&amp;C&amp;9Creactstudios&amp;R&amp;9&amp;K000000&amp;D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Produktname_Erlösvorschau</vt:lpstr>
      <vt:lpstr>Produktname_Erlösvorschau!Druckbereich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Simon Blasen</cp:lastModifiedBy>
  <cp:lastPrinted>2019-11-18T16:30:43Z</cp:lastPrinted>
  <dcterms:created xsi:type="dcterms:W3CDTF">2019-11-13T07:25:02Z</dcterms:created>
  <dcterms:modified xsi:type="dcterms:W3CDTF">2026-07-29T15:52:14Z</dcterms:modified>
</cp:coreProperties>
</file>