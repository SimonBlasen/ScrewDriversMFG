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SRV-FILE-00\MFG Kreativ\Unit KKW\Projekte - Maßnahmen\Games BW_Förderung_DCF\14_GBW FörderRICHTLINIE+VertragsMUSTER\ANTRÄGE-VERTRÄGE-ANLAGEN\00_NEUE-RICHTLINIE_2025_Arbeitsordner\03_AntragsAnlagen_2025\"/>
    </mc:Choice>
  </mc:AlternateContent>
  <xr:revisionPtr revIDLastSave="0" documentId="13_ncr:1_{095D736B-BA88-4D3C-BB15-5D2FFD60B4E0}" xr6:coauthVersionLast="36" xr6:coauthVersionMax="36" xr10:uidLastSave="{00000000-0000-0000-0000-000000000000}"/>
  <bookViews>
    <workbookView xWindow="0" yWindow="0" windowWidth="25200" windowHeight="11775" activeTab="1" xr2:uid="{00000000-000D-0000-FFFF-FFFF00000000}"/>
  </bookViews>
  <sheets>
    <sheet name="Kosten_Planung" sheetId="1" r:id="rId1"/>
    <sheet name="Tracking_Actuals_Projektverlauf" sheetId="3" r:id="rId2"/>
  </sheets>
  <definedNames>
    <definedName name="_xlnm.Print_Area" localSheetId="0">Kosten_Planung!$B$2:$AD$95</definedName>
    <definedName name="_xlnm.Print_Area" localSheetId="1">Tracking_Actuals_Projektverlauf!$B$2:$AC$93</definedName>
  </definedNames>
  <calcPr calcId="191029"/>
</workbook>
</file>

<file path=xl/calcChain.xml><?xml version="1.0" encoding="utf-8"?>
<calcChain xmlns="http://schemas.openxmlformats.org/spreadsheetml/2006/main">
  <c r="AC77" i="1" l="1"/>
  <c r="AC76" i="3"/>
  <c r="E73" i="1"/>
  <c r="E72" i="1" s="1"/>
  <c r="E72" i="3" l="1"/>
  <c r="E71" i="3" s="1"/>
  <c r="AC65" i="3"/>
  <c r="E75" i="3" l="1"/>
  <c r="E74" i="3"/>
  <c r="E73" i="3" s="1"/>
  <c r="AD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AC62" i="3"/>
  <c r="AC61" i="3"/>
  <c r="AC60" i="3"/>
  <c r="AD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AC56" i="3"/>
  <c r="AC55" i="3"/>
  <c r="AC54" i="3"/>
  <c r="AC53" i="3"/>
  <c r="AD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AC49" i="3"/>
  <c r="AC48" i="3"/>
  <c r="AC47" i="3"/>
  <c r="AC46" i="3"/>
  <c r="AD43" i="3"/>
  <c r="D40" i="3"/>
  <c r="D39" i="3" s="1"/>
  <c r="P40" i="3" s="1"/>
  <c r="D38" i="3"/>
  <c r="P38" i="3" s="1"/>
  <c r="D36" i="3"/>
  <c r="P36" i="3" s="1"/>
  <c r="D34" i="3"/>
  <c r="N34" i="3" s="1"/>
  <c r="J32" i="3"/>
  <c r="D32" i="3"/>
  <c r="R32" i="3" s="1"/>
  <c r="D31" i="3"/>
  <c r="AC31" i="3" s="1"/>
  <c r="D30" i="3"/>
  <c r="AB30" i="3" s="1"/>
  <c r="Z28" i="3"/>
  <c r="U28" i="3"/>
  <c r="D28" i="3"/>
  <c r="AB28" i="3" s="1"/>
  <c r="AD24" i="3"/>
  <c r="U21" i="3"/>
  <c r="D21" i="3"/>
  <c r="AB21" i="3" s="1"/>
  <c r="AA19" i="3"/>
  <c r="D19" i="3"/>
  <c r="AB19" i="3" s="1"/>
  <c r="D17" i="3"/>
  <c r="AB17" i="3" s="1"/>
  <c r="D15" i="3"/>
  <c r="I15" i="3" s="1"/>
  <c r="D13" i="3"/>
  <c r="AB13" i="3" s="1"/>
  <c r="D11" i="3"/>
  <c r="AB11" i="3" s="1"/>
  <c r="R9" i="3"/>
  <c r="M9" i="3"/>
  <c r="J9" i="3"/>
  <c r="G9" i="3"/>
  <c r="D9" i="3"/>
  <c r="AB9" i="3" s="1"/>
  <c r="D7" i="3"/>
  <c r="K7" i="3" s="1"/>
  <c r="E76" i="1"/>
  <c r="E75" i="1"/>
  <c r="E74" i="1" s="1"/>
  <c r="E13" i="3" l="1"/>
  <c r="O9" i="3"/>
  <c r="K11" i="3"/>
  <c r="F13" i="3"/>
  <c r="U13" i="3"/>
  <c r="G17" i="3"/>
  <c r="D18" i="3"/>
  <c r="AC18" i="3" s="1"/>
  <c r="E21" i="3"/>
  <c r="Z21" i="3"/>
  <c r="AB38" i="3"/>
  <c r="R13" i="3"/>
  <c r="Z17" i="3"/>
  <c r="Q11" i="3"/>
  <c r="G13" i="3"/>
  <c r="V13" i="3"/>
  <c r="J17" i="3"/>
  <c r="G21" i="3"/>
  <c r="Q13" i="3"/>
  <c r="F11" i="3"/>
  <c r="W21" i="3"/>
  <c r="U9" i="3"/>
  <c r="V11" i="3"/>
  <c r="J13" i="3"/>
  <c r="W13" i="3"/>
  <c r="M17" i="3"/>
  <c r="F19" i="3"/>
  <c r="J21" i="3"/>
  <c r="X40" i="3"/>
  <c r="W9" i="3"/>
  <c r="AA11" i="3"/>
  <c r="K13" i="3"/>
  <c r="Z13" i="3"/>
  <c r="O17" i="3"/>
  <c r="K19" i="3"/>
  <c r="M21" i="3"/>
  <c r="E28" i="3"/>
  <c r="E9" i="3"/>
  <c r="Z9" i="3"/>
  <c r="D12" i="3"/>
  <c r="AC12" i="3" s="1"/>
  <c r="M13" i="3"/>
  <c r="AA13" i="3"/>
  <c r="R17" i="3"/>
  <c r="Q19" i="3"/>
  <c r="O21" i="3"/>
  <c r="J28" i="3"/>
  <c r="U32" i="3"/>
  <c r="W17" i="3"/>
  <c r="E17" i="3"/>
  <c r="D10" i="3"/>
  <c r="AC10" i="3" s="1"/>
  <c r="O13" i="3"/>
  <c r="U17" i="3"/>
  <c r="V19" i="3"/>
  <c r="R21" i="3"/>
  <c r="O28" i="3"/>
  <c r="I7" i="3"/>
  <c r="Y7" i="3"/>
  <c r="D6" i="3"/>
  <c r="AB15" i="3"/>
  <c r="Z15" i="3"/>
  <c r="U15" i="3"/>
  <c r="O15" i="3"/>
  <c r="J15" i="3"/>
  <c r="E15" i="3"/>
  <c r="Y15" i="3"/>
  <c r="W15" i="3"/>
  <c r="R15" i="3"/>
  <c r="M15" i="3"/>
  <c r="G15" i="3"/>
  <c r="AA15" i="3"/>
  <c r="V15" i="3"/>
  <c r="Q15" i="3"/>
  <c r="K15" i="3"/>
  <c r="F15" i="3"/>
  <c r="D14" i="3"/>
  <c r="AC14" i="3" s="1"/>
  <c r="AB7" i="3"/>
  <c r="AB23" i="3" s="1"/>
  <c r="Z7" i="3"/>
  <c r="U7" i="3"/>
  <c r="O7" i="3"/>
  <c r="J7" i="3"/>
  <c r="E7" i="3"/>
  <c r="W7" i="3"/>
  <c r="R7" i="3"/>
  <c r="M7" i="3"/>
  <c r="G7" i="3"/>
  <c r="AA7" i="3"/>
  <c r="V7" i="3"/>
  <c r="Q7" i="3"/>
  <c r="N15" i="3"/>
  <c r="N7" i="3"/>
  <c r="F7" i="3"/>
  <c r="S7" i="3"/>
  <c r="S15" i="3"/>
  <c r="I11" i="3"/>
  <c r="N11" i="3"/>
  <c r="S11" i="3"/>
  <c r="Y11" i="3"/>
  <c r="I19" i="3"/>
  <c r="N19" i="3"/>
  <c r="S19" i="3"/>
  <c r="Y19" i="3"/>
  <c r="I30" i="3"/>
  <c r="P30" i="3"/>
  <c r="V30" i="3"/>
  <c r="R34" i="3"/>
  <c r="X36" i="3"/>
  <c r="D8" i="3"/>
  <c r="AC8" i="3" s="1"/>
  <c r="F9" i="3"/>
  <c r="K9" i="3"/>
  <c r="Q9" i="3"/>
  <c r="V9" i="3"/>
  <c r="AA9" i="3"/>
  <c r="E11" i="3"/>
  <c r="J11" i="3"/>
  <c r="O11" i="3"/>
  <c r="U11" i="3"/>
  <c r="Z11" i="3"/>
  <c r="I13" i="3"/>
  <c r="N13" i="3"/>
  <c r="S13" i="3"/>
  <c r="Y13" i="3"/>
  <c r="D16" i="3"/>
  <c r="AC16" i="3" s="1"/>
  <c r="F17" i="3"/>
  <c r="K17" i="3"/>
  <c r="Q17" i="3"/>
  <c r="V17" i="3"/>
  <c r="AA17" i="3"/>
  <c r="E19" i="3"/>
  <c r="J19" i="3"/>
  <c r="O19" i="3"/>
  <c r="U19" i="3"/>
  <c r="Z19" i="3"/>
  <c r="I21" i="3"/>
  <c r="N21" i="3"/>
  <c r="S21" i="3"/>
  <c r="Y21" i="3"/>
  <c r="D27" i="3"/>
  <c r="AC27" i="3" s="1"/>
  <c r="F28" i="3"/>
  <c r="K28" i="3"/>
  <c r="Q28" i="3"/>
  <c r="V28" i="3"/>
  <c r="AA28" i="3"/>
  <c r="E30" i="3"/>
  <c r="J30" i="3"/>
  <c r="Q30" i="3"/>
  <c r="Y30" i="3"/>
  <c r="M32" i="3"/>
  <c r="X32" i="3"/>
  <c r="F34" i="3"/>
  <c r="V34" i="3"/>
  <c r="H36" i="3"/>
  <c r="AB36" i="3"/>
  <c r="G28" i="3"/>
  <c r="M28" i="3"/>
  <c r="R28" i="3"/>
  <c r="W28" i="3"/>
  <c r="D29" i="3"/>
  <c r="AC29" i="3" s="1"/>
  <c r="F30" i="3"/>
  <c r="L30" i="3"/>
  <c r="T30" i="3"/>
  <c r="Z30" i="3"/>
  <c r="E32" i="3"/>
  <c r="P32" i="3"/>
  <c r="Z32" i="3"/>
  <c r="J34" i="3"/>
  <c r="Z34" i="3"/>
  <c r="L36" i="3"/>
  <c r="H40" i="3"/>
  <c r="AC50" i="3"/>
  <c r="I9" i="3"/>
  <c r="N9" i="3"/>
  <c r="S9" i="3"/>
  <c r="Y9" i="3"/>
  <c r="G11" i="3"/>
  <c r="M11" i="3"/>
  <c r="R11" i="3"/>
  <c r="W11" i="3"/>
  <c r="I17" i="3"/>
  <c r="N17" i="3"/>
  <c r="S17" i="3"/>
  <c r="Y17" i="3"/>
  <c r="G19" i="3"/>
  <c r="M19" i="3"/>
  <c r="R19" i="3"/>
  <c r="W19" i="3"/>
  <c r="D20" i="3"/>
  <c r="AC20" i="3" s="1"/>
  <c r="F21" i="3"/>
  <c r="K21" i="3"/>
  <c r="Q21" i="3"/>
  <c r="V21" i="3"/>
  <c r="AA21" i="3"/>
  <c r="I28" i="3"/>
  <c r="N28" i="3"/>
  <c r="S28" i="3"/>
  <c r="Y28" i="3"/>
  <c r="G30" i="3"/>
  <c r="N30" i="3"/>
  <c r="U30" i="3"/>
  <c r="H32" i="3"/>
  <c r="D33" i="3"/>
  <c r="AC33" i="3" s="1"/>
  <c r="D35" i="3"/>
  <c r="AC35" i="3" s="1"/>
  <c r="L38" i="3"/>
  <c r="AC57" i="3"/>
  <c r="AA32" i="3"/>
  <c r="W32" i="3"/>
  <c r="S32" i="3"/>
  <c r="O32" i="3"/>
  <c r="K32" i="3"/>
  <c r="G32" i="3"/>
  <c r="I32" i="3"/>
  <c r="N32" i="3"/>
  <c r="T32" i="3"/>
  <c r="Y32" i="3"/>
  <c r="AA34" i="3"/>
  <c r="W34" i="3"/>
  <c r="S34" i="3"/>
  <c r="O34" i="3"/>
  <c r="K34" i="3"/>
  <c r="G34" i="3"/>
  <c r="Y34" i="3"/>
  <c r="U34" i="3"/>
  <c r="Q34" i="3"/>
  <c r="M34" i="3"/>
  <c r="I34" i="3"/>
  <c r="E34" i="3"/>
  <c r="L34" i="3"/>
  <c r="T34" i="3"/>
  <c r="AB34" i="3"/>
  <c r="AA40" i="3"/>
  <c r="W40" i="3"/>
  <c r="S40" i="3"/>
  <c r="O40" i="3"/>
  <c r="K40" i="3"/>
  <c r="G40" i="3"/>
  <c r="AC39" i="3"/>
  <c r="Z40" i="3"/>
  <c r="V40" i="3"/>
  <c r="R40" i="3"/>
  <c r="N40" i="3"/>
  <c r="J40" i="3"/>
  <c r="F40" i="3"/>
  <c r="Y40" i="3"/>
  <c r="U40" i="3"/>
  <c r="Q40" i="3"/>
  <c r="M40" i="3"/>
  <c r="I40" i="3"/>
  <c r="E40" i="3"/>
  <c r="T40" i="3"/>
  <c r="AA38" i="3"/>
  <c r="W38" i="3"/>
  <c r="S38" i="3"/>
  <c r="O38" i="3"/>
  <c r="K38" i="3"/>
  <c r="G38" i="3"/>
  <c r="Z38" i="3"/>
  <c r="V38" i="3"/>
  <c r="R38" i="3"/>
  <c r="N38" i="3"/>
  <c r="J38" i="3"/>
  <c r="F38" i="3"/>
  <c r="D37" i="3"/>
  <c r="AC37" i="3" s="1"/>
  <c r="Y38" i="3"/>
  <c r="U38" i="3"/>
  <c r="Q38" i="3"/>
  <c r="M38" i="3"/>
  <c r="I38" i="3"/>
  <c r="E38" i="3"/>
  <c r="T38" i="3"/>
  <c r="AD77" i="3"/>
  <c r="H7" i="3"/>
  <c r="L7" i="3"/>
  <c r="P7" i="3"/>
  <c r="T7" i="3"/>
  <c r="X7" i="3"/>
  <c r="H9" i="3"/>
  <c r="L9" i="3"/>
  <c r="P9" i="3"/>
  <c r="T9" i="3"/>
  <c r="X9" i="3"/>
  <c r="H11" i="3"/>
  <c r="L11" i="3"/>
  <c r="P11" i="3"/>
  <c r="T11" i="3"/>
  <c r="X11" i="3"/>
  <c r="H13" i="3"/>
  <c r="L13" i="3"/>
  <c r="P13" i="3"/>
  <c r="T13" i="3"/>
  <c r="X13" i="3"/>
  <c r="H15" i="3"/>
  <c r="L15" i="3"/>
  <c r="P15" i="3"/>
  <c r="T15" i="3"/>
  <c r="X15" i="3"/>
  <c r="H17" i="3"/>
  <c r="L17" i="3"/>
  <c r="P17" i="3"/>
  <c r="T17" i="3"/>
  <c r="X17" i="3"/>
  <c r="H19" i="3"/>
  <c r="L19" i="3"/>
  <c r="P19" i="3"/>
  <c r="T19" i="3"/>
  <c r="X19" i="3"/>
  <c r="H21" i="3"/>
  <c r="L21" i="3"/>
  <c r="P21" i="3"/>
  <c r="T21" i="3"/>
  <c r="X21" i="3"/>
  <c r="H28" i="3"/>
  <c r="L28" i="3"/>
  <c r="P28" i="3"/>
  <c r="T28" i="3"/>
  <c r="X28" i="3"/>
  <c r="AA30" i="3"/>
  <c r="W30" i="3"/>
  <c r="S30" i="3"/>
  <c r="O30" i="3"/>
  <c r="K30" i="3"/>
  <c r="H30" i="3"/>
  <c r="M30" i="3"/>
  <c r="R30" i="3"/>
  <c r="X30" i="3"/>
  <c r="F32" i="3"/>
  <c r="L32" i="3"/>
  <c r="Q32" i="3"/>
  <c r="V32" i="3"/>
  <c r="AB32" i="3"/>
  <c r="H34" i="3"/>
  <c r="P34" i="3"/>
  <c r="X34" i="3"/>
  <c r="AA36" i="3"/>
  <c r="W36" i="3"/>
  <c r="S36" i="3"/>
  <c r="O36" i="3"/>
  <c r="K36" i="3"/>
  <c r="G36" i="3"/>
  <c r="Z36" i="3"/>
  <c r="V36" i="3"/>
  <c r="R36" i="3"/>
  <c r="N36" i="3"/>
  <c r="J36" i="3"/>
  <c r="F36" i="3"/>
  <c r="Y36" i="3"/>
  <c r="U36" i="3"/>
  <c r="Q36" i="3"/>
  <c r="M36" i="3"/>
  <c r="I36" i="3"/>
  <c r="E36" i="3"/>
  <c r="T36" i="3"/>
  <c r="H38" i="3"/>
  <c r="X38" i="3"/>
  <c r="L40" i="3"/>
  <c r="AB40" i="3"/>
  <c r="AC63" i="3"/>
  <c r="D35" i="1"/>
  <c r="E35" i="1" s="1"/>
  <c r="AD64" i="1"/>
  <c r="AD44" i="1"/>
  <c r="D41" i="1"/>
  <c r="D40" i="1" s="1"/>
  <c r="AC40" i="1" s="1"/>
  <c r="D39" i="1"/>
  <c r="D38" i="1" s="1"/>
  <c r="AC38" i="1" s="1"/>
  <c r="D37" i="1"/>
  <c r="D36" i="1" s="1"/>
  <c r="AC36" i="1" s="1"/>
  <c r="D33" i="1"/>
  <c r="I33" i="1" s="1"/>
  <c r="D31" i="1"/>
  <c r="F31" i="1" s="1"/>
  <c r="D29" i="1"/>
  <c r="D28" i="1" s="1"/>
  <c r="K42" i="3" l="1"/>
  <c r="Q23" i="3"/>
  <c r="J23" i="3"/>
  <c r="S42" i="3"/>
  <c r="S43" i="3" s="1"/>
  <c r="O41" i="3"/>
  <c r="AA42" i="3"/>
  <c r="K23" i="3"/>
  <c r="K66" i="3" s="1"/>
  <c r="M23" i="3"/>
  <c r="AC15" i="3"/>
  <c r="S41" i="3"/>
  <c r="I23" i="3"/>
  <c r="W23" i="3"/>
  <c r="O22" i="3"/>
  <c r="G22" i="3"/>
  <c r="Y23" i="3"/>
  <c r="Y22" i="3"/>
  <c r="Y24" i="3" s="1"/>
  <c r="Q22" i="3"/>
  <c r="Q24" i="3" s="1"/>
  <c r="W22" i="3"/>
  <c r="I22" i="3"/>
  <c r="V42" i="3"/>
  <c r="L42" i="3"/>
  <c r="AC19" i="3"/>
  <c r="AC11" i="3"/>
  <c r="X41" i="3"/>
  <c r="X43" i="3" s="1"/>
  <c r="Q41" i="3"/>
  <c r="N41" i="3"/>
  <c r="W41" i="3"/>
  <c r="N23" i="3"/>
  <c r="AA23" i="3"/>
  <c r="AA66" i="3" s="1"/>
  <c r="U23" i="3"/>
  <c r="J42" i="3"/>
  <c r="J66" i="3" s="1"/>
  <c r="Z42" i="3"/>
  <c r="Q42" i="3"/>
  <c r="Q66" i="3" s="1"/>
  <c r="R42" i="3"/>
  <c r="O42" i="3"/>
  <c r="K22" i="3"/>
  <c r="AC17" i="3"/>
  <c r="AC9" i="3"/>
  <c r="G42" i="3"/>
  <c r="G66" i="3" s="1"/>
  <c r="N42" i="3"/>
  <c r="H41" i="3"/>
  <c r="AB41" i="3"/>
  <c r="U41" i="3"/>
  <c r="Z41" i="3"/>
  <c r="M22" i="3"/>
  <c r="G23" i="3"/>
  <c r="G24" i="3" s="1"/>
  <c r="E23" i="3"/>
  <c r="E24" i="3" s="1"/>
  <c r="Z23" i="3"/>
  <c r="AA22" i="3"/>
  <c r="AB22" i="3"/>
  <c r="AB24" i="3" s="1"/>
  <c r="T22" i="3"/>
  <c r="L22" i="3"/>
  <c r="Z22" i="3"/>
  <c r="R22" i="3"/>
  <c r="J22" i="3"/>
  <c r="J24" i="3" s="1"/>
  <c r="X22" i="3"/>
  <c r="P22" i="3"/>
  <c r="H22" i="3"/>
  <c r="AC6" i="3"/>
  <c r="V22" i="3"/>
  <c r="N22" i="3"/>
  <c r="N65" i="3" s="1"/>
  <c r="F22" i="3"/>
  <c r="M42" i="3"/>
  <c r="AA41" i="3"/>
  <c r="AA43" i="3" s="1"/>
  <c r="W42" i="3"/>
  <c r="E41" i="3"/>
  <c r="I42" i="3"/>
  <c r="I66" i="3" s="1"/>
  <c r="L41" i="3"/>
  <c r="F41" i="3"/>
  <c r="I24" i="3"/>
  <c r="S23" i="3"/>
  <c r="S66" i="3" s="1"/>
  <c r="AB42" i="3"/>
  <c r="AB66" i="3" s="1"/>
  <c r="AC30" i="3"/>
  <c r="S22" i="3"/>
  <c r="S65" i="3" s="1"/>
  <c r="AC21" i="3"/>
  <c r="AC13" i="3"/>
  <c r="K41" i="3"/>
  <c r="K43" i="3" s="1"/>
  <c r="E42" i="3"/>
  <c r="E43" i="3" s="1"/>
  <c r="U42" i="3"/>
  <c r="U43" i="3" s="1"/>
  <c r="Y42" i="3"/>
  <c r="P41" i="3"/>
  <c r="M41" i="3"/>
  <c r="J41" i="3"/>
  <c r="U22" i="3"/>
  <c r="E22" i="3"/>
  <c r="F23" i="3"/>
  <c r="V23" i="3"/>
  <c r="R23" i="3"/>
  <c r="O23" i="3"/>
  <c r="O24" i="3" s="1"/>
  <c r="P23" i="3"/>
  <c r="P24" i="3" s="1"/>
  <c r="AC38" i="3"/>
  <c r="L43" i="3"/>
  <c r="J43" i="3"/>
  <c r="L23" i="3"/>
  <c r="L24" i="3" s="1"/>
  <c r="W43" i="3"/>
  <c r="AC36" i="3"/>
  <c r="T42" i="3"/>
  <c r="X23" i="3"/>
  <c r="H23" i="3"/>
  <c r="O43" i="3"/>
  <c r="T41" i="3"/>
  <c r="I41" i="3"/>
  <c r="Y41" i="3"/>
  <c r="R41" i="3"/>
  <c r="O65" i="3"/>
  <c r="G41" i="3"/>
  <c r="AB43" i="3"/>
  <c r="X42" i="3"/>
  <c r="H42" i="3"/>
  <c r="AC34" i="3"/>
  <c r="F42" i="3"/>
  <c r="P42" i="3"/>
  <c r="T23" i="3"/>
  <c r="T24" i="3" s="1"/>
  <c r="M65" i="3"/>
  <c r="AC32" i="3"/>
  <c r="AC40" i="3"/>
  <c r="V41" i="3"/>
  <c r="AC28" i="3"/>
  <c r="AC7" i="3"/>
  <c r="W65" i="3"/>
  <c r="X35" i="1"/>
  <c r="S35" i="1"/>
  <c r="N35" i="1"/>
  <c r="AB35" i="1"/>
  <c r="AA35" i="1"/>
  <c r="V35" i="1"/>
  <c r="P35" i="1"/>
  <c r="J35" i="1"/>
  <c r="W35" i="1"/>
  <c r="R35" i="1"/>
  <c r="K35" i="1"/>
  <c r="Z35" i="1"/>
  <c r="T35" i="1"/>
  <c r="O35" i="1"/>
  <c r="H35" i="1"/>
  <c r="AC28" i="1"/>
  <c r="F35" i="1"/>
  <c r="L35" i="1"/>
  <c r="G35" i="1"/>
  <c r="Y35" i="1"/>
  <c r="U35" i="1"/>
  <c r="Q35" i="1"/>
  <c r="M35" i="1"/>
  <c r="I35" i="1"/>
  <c r="H37" i="1"/>
  <c r="P41" i="1"/>
  <c r="X37" i="1"/>
  <c r="T37" i="1"/>
  <c r="S31" i="1"/>
  <c r="AB41" i="1"/>
  <c r="L41" i="1"/>
  <c r="T29" i="1"/>
  <c r="P37" i="1"/>
  <c r="X41" i="1"/>
  <c r="H41" i="1"/>
  <c r="H29" i="1"/>
  <c r="AB37" i="1"/>
  <c r="L37" i="1"/>
  <c r="T41" i="1"/>
  <c r="T33" i="1"/>
  <c r="H33" i="1"/>
  <c r="AB39" i="1"/>
  <c r="T39" i="1"/>
  <c r="H39" i="1"/>
  <c r="D34" i="1"/>
  <c r="AC34" i="1" s="1"/>
  <c r="R29" i="1"/>
  <c r="AA31" i="1"/>
  <c r="O31" i="1"/>
  <c r="AA33" i="1"/>
  <c r="W33" i="1"/>
  <c r="S33" i="1"/>
  <c r="O33" i="1"/>
  <c r="K33" i="1"/>
  <c r="G33" i="1"/>
  <c r="AA37" i="1"/>
  <c r="W37" i="1"/>
  <c r="S37" i="1"/>
  <c r="O37" i="1"/>
  <c r="K37" i="1"/>
  <c r="G37" i="1"/>
  <c r="AA39" i="1"/>
  <c r="W39" i="1"/>
  <c r="S39" i="1"/>
  <c r="O39" i="1"/>
  <c r="K39" i="1"/>
  <c r="G39" i="1"/>
  <c r="AA41" i="1"/>
  <c r="W41" i="1"/>
  <c r="S41" i="1"/>
  <c r="O41" i="1"/>
  <c r="K41" i="1"/>
  <c r="G41" i="1"/>
  <c r="AB33" i="1"/>
  <c r="L33" i="1"/>
  <c r="L39" i="1"/>
  <c r="AB29" i="1"/>
  <c r="P29" i="1"/>
  <c r="Z31" i="1"/>
  <c r="K31" i="1"/>
  <c r="Z33" i="1"/>
  <c r="V33" i="1"/>
  <c r="R33" i="1"/>
  <c r="N33" i="1"/>
  <c r="J33" i="1"/>
  <c r="F33" i="1"/>
  <c r="Z37" i="1"/>
  <c r="V37" i="1"/>
  <c r="R37" i="1"/>
  <c r="N37" i="1"/>
  <c r="J37" i="1"/>
  <c r="F37" i="1"/>
  <c r="Z39" i="1"/>
  <c r="V39" i="1"/>
  <c r="R39" i="1"/>
  <c r="N39" i="1"/>
  <c r="J39" i="1"/>
  <c r="F39" i="1"/>
  <c r="Z41" i="1"/>
  <c r="V41" i="1"/>
  <c r="R41" i="1"/>
  <c r="N41" i="1"/>
  <c r="J41" i="1"/>
  <c r="F41" i="1"/>
  <c r="X33" i="1"/>
  <c r="P33" i="1"/>
  <c r="X39" i="1"/>
  <c r="P39" i="1"/>
  <c r="D32" i="1"/>
  <c r="AC32" i="1" s="1"/>
  <c r="X29" i="1"/>
  <c r="L29" i="1"/>
  <c r="W31" i="1"/>
  <c r="E33" i="1"/>
  <c r="Y33" i="1"/>
  <c r="U33" i="1"/>
  <c r="Q33" i="1"/>
  <c r="M33" i="1"/>
  <c r="E37" i="1"/>
  <c r="Y37" i="1"/>
  <c r="U37" i="1"/>
  <c r="Q37" i="1"/>
  <c r="M37" i="1"/>
  <c r="I37" i="1"/>
  <c r="E39" i="1"/>
  <c r="Y39" i="1"/>
  <c r="U39" i="1"/>
  <c r="Q39" i="1"/>
  <c r="M39" i="1"/>
  <c r="I39" i="1"/>
  <c r="E41" i="1"/>
  <c r="Y41" i="1"/>
  <c r="U41" i="1"/>
  <c r="Q41" i="1"/>
  <c r="M41" i="1"/>
  <c r="I41" i="1"/>
  <c r="V31" i="1"/>
  <c r="R31" i="1"/>
  <c r="N31" i="1"/>
  <c r="J31" i="1"/>
  <c r="D30" i="1"/>
  <c r="E31" i="1"/>
  <c r="Y31" i="1"/>
  <c r="U31" i="1"/>
  <c r="Q31" i="1"/>
  <c r="M31" i="1"/>
  <c r="I31" i="1"/>
  <c r="AB31" i="1"/>
  <c r="X31" i="1"/>
  <c r="T31" i="1"/>
  <c r="P31" i="1"/>
  <c r="L31" i="1"/>
  <c r="H31" i="1"/>
  <c r="G31" i="1"/>
  <c r="Z29" i="1"/>
  <c r="V29" i="1"/>
  <c r="N29" i="1"/>
  <c r="J29" i="1"/>
  <c r="F29" i="1"/>
  <c r="E29" i="1"/>
  <c r="Y29" i="1"/>
  <c r="U29" i="1"/>
  <c r="Q29" i="1"/>
  <c r="M29" i="1"/>
  <c r="I29" i="1"/>
  <c r="AA29" i="1"/>
  <c r="W29" i="1"/>
  <c r="S29" i="1"/>
  <c r="O29" i="1"/>
  <c r="K29" i="1"/>
  <c r="G29" i="1"/>
  <c r="M66" i="3" l="1"/>
  <c r="F65" i="3"/>
  <c r="AA65" i="3"/>
  <c r="M24" i="3"/>
  <c r="K24" i="3"/>
  <c r="M43" i="3"/>
  <c r="W24" i="3"/>
  <c r="Z43" i="3"/>
  <c r="W66" i="3"/>
  <c r="Q43" i="3"/>
  <c r="U24" i="3"/>
  <c r="L65" i="3"/>
  <c r="F66" i="3"/>
  <c r="F67" i="3" s="1"/>
  <c r="Y66" i="3"/>
  <c r="AA24" i="3"/>
  <c r="M67" i="3"/>
  <c r="E66" i="3"/>
  <c r="P66" i="3"/>
  <c r="P65" i="3"/>
  <c r="V24" i="3"/>
  <c r="U66" i="3"/>
  <c r="J65" i="3"/>
  <c r="J67" i="3" s="1"/>
  <c r="H66" i="3"/>
  <c r="W67" i="3"/>
  <c r="X66" i="3"/>
  <c r="N66" i="3"/>
  <c r="N67" i="3" s="1"/>
  <c r="AA67" i="3"/>
  <c r="Z66" i="3"/>
  <c r="H43" i="3"/>
  <c r="X24" i="3"/>
  <c r="S67" i="3"/>
  <c r="U65" i="3"/>
  <c r="O66" i="3"/>
  <c r="O67" i="3" s="1"/>
  <c r="X65" i="3"/>
  <c r="Z65" i="3"/>
  <c r="S24" i="3"/>
  <c r="E65" i="3"/>
  <c r="F24" i="3"/>
  <c r="R24" i="3"/>
  <c r="AB65" i="3"/>
  <c r="AB67" i="3" s="1"/>
  <c r="R66" i="3"/>
  <c r="K65" i="3"/>
  <c r="K67" i="3" s="1"/>
  <c r="AC22" i="3"/>
  <c r="Q65" i="3"/>
  <c r="Q67" i="3" s="1"/>
  <c r="N43" i="3"/>
  <c r="N24" i="3"/>
  <c r="Z24" i="3"/>
  <c r="H65" i="3"/>
  <c r="H67" i="3" s="1"/>
  <c r="V66" i="3"/>
  <c r="H24" i="3"/>
  <c r="AC23" i="3"/>
  <c r="F43" i="3"/>
  <c r="G43" i="3"/>
  <c r="G65" i="3"/>
  <c r="G67" i="3" s="1"/>
  <c r="R43" i="3"/>
  <c r="R65" i="3"/>
  <c r="R67" i="3" s="1"/>
  <c r="Y43" i="3"/>
  <c r="Y65" i="3"/>
  <c r="T66" i="3"/>
  <c r="AC41" i="3"/>
  <c r="AC42" i="3"/>
  <c r="T43" i="3"/>
  <c r="T65" i="3"/>
  <c r="V43" i="3"/>
  <c r="V65" i="3"/>
  <c r="V67" i="3" s="1"/>
  <c r="I43" i="3"/>
  <c r="I65" i="3"/>
  <c r="I67" i="3" s="1"/>
  <c r="P43" i="3"/>
  <c r="L66" i="3"/>
  <c r="N42" i="1"/>
  <c r="AB42" i="1"/>
  <c r="J42" i="1"/>
  <c r="U42" i="1"/>
  <c r="L42" i="1"/>
  <c r="Z42" i="1"/>
  <c r="S42" i="1"/>
  <c r="Q42" i="1"/>
  <c r="X42" i="1"/>
  <c r="H42" i="1"/>
  <c r="O42" i="1"/>
  <c r="V42" i="1"/>
  <c r="F42" i="1"/>
  <c r="E42" i="1"/>
  <c r="M42" i="1"/>
  <c r="T42" i="1"/>
  <c r="AA42" i="1"/>
  <c r="K42" i="1"/>
  <c r="R42" i="1"/>
  <c r="Y42" i="1"/>
  <c r="I42" i="1"/>
  <c r="P42" i="1"/>
  <c r="W42" i="1"/>
  <c r="G42" i="1"/>
  <c r="F43" i="1"/>
  <c r="AC35" i="1"/>
  <c r="W43" i="1"/>
  <c r="X43" i="1"/>
  <c r="K43" i="1"/>
  <c r="AA43" i="1"/>
  <c r="J43" i="1"/>
  <c r="G43" i="1"/>
  <c r="Q43" i="1"/>
  <c r="Z43" i="1"/>
  <c r="O43" i="1"/>
  <c r="I43" i="1"/>
  <c r="Y43" i="1"/>
  <c r="N43" i="1"/>
  <c r="U43" i="1"/>
  <c r="S43" i="1"/>
  <c r="M43" i="1"/>
  <c r="E43" i="1"/>
  <c r="V43" i="1"/>
  <c r="L43" i="1"/>
  <c r="R43" i="1"/>
  <c r="P43" i="1"/>
  <c r="AB43" i="1"/>
  <c r="H43" i="1"/>
  <c r="T43" i="1"/>
  <c r="AC30" i="1"/>
  <c r="AC29" i="1"/>
  <c r="AC39" i="1"/>
  <c r="AC33" i="1"/>
  <c r="AC31" i="1"/>
  <c r="AC41" i="1"/>
  <c r="AC37" i="1"/>
  <c r="AD58" i="1"/>
  <c r="AD51" i="1"/>
  <c r="AD25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AC57" i="1"/>
  <c r="AC56" i="1"/>
  <c r="AC55" i="1"/>
  <c r="AC54" i="1"/>
  <c r="D22" i="1"/>
  <c r="F22" i="1" s="1"/>
  <c r="D20" i="1"/>
  <c r="F20" i="1" s="1"/>
  <c r="D18" i="1"/>
  <c r="G18" i="1" s="1"/>
  <c r="D16" i="1"/>
  <c r="K16" i="1" s="1"/>
  <c r="D14" i="1"/>
  <c r="G14" i="1" s="1"/>
  <c r="D12" i="1"/>
  <c r="G12" i="1" s="1"/>
  <c r="D10" i="1"/>
  <c r="F10" i="1" s="1"/>
  <c r="D8" i="1"/>
  <c r="F8" i="1" s="1"/>
  <c r="AC24" i="3" l="1"/>
  <c r="Z67" i="3"/>
  <c r="Y67" i="3"/>
  <c r="AD78" i="1"/>
  <c r="X67" i="3"/>
  <c r="P67" i="3"/>
  <c r="U67" i="3"/>
  <c r="E67" i="3"/>
  <c r="E68" i="3" s="1"/>
  <c r="F68" i="3" s="1"/>
  <c r="G68" i="3" s="1"/>
  <c r="H68" i="3" s="1"/>
  <c r="I68" i="3" s="1"/>
  <c r="J68" i="3" s="1"/>
  <c r="K68" i="3" s="1"/>
  <c r="AC66" i="3"/>
  <c r="L67" i="3"/>
  <c r="T67" i="3"/>
  <c r="AC43" i="3"/>
  <c r="AC58" i="1"/>
  <c r="AC42" i="1"/>
  <c r="J14" i="1"/>
  <c r="R12" i="1"/>
  <c r="J12" i="1"/>
  <c r="Z14" i="1"/>
  <c r="D11" i="1"/>
  <c r="Z12" i="1"/>
  <c r="R14" i="1"/>
  <c r="U10" i="1"/>
  <c r="D13" i="1"/>
  <c r="AC13" i="1" s="1"/>
  <c r="Q10" i="1"/>
  <c r="Y12" i="1"/>
  <c r="Q12" i="1"/>
  <c r="I12" i="1"/>
  <c r="Y14" i="1"/>
  <c r="Q14" i="1"/>
  <c r="I14" i="1"/>
  <c r="R18" i="1"/>
  <c r="F18" i="1"/>
  <c r="E10" i="1"/>
  <c r="M10" i="1"/>
  <c r="V12" i="1"/>
  <c r="N12" i="1"/>
  <c r="F12" i="1"/>
  <c r="V14" i="1"/>
  <c r="N14" i="1"/>
  <c r="F14" i="1"/>
  <c r="N18" i="1"/>
  <c r="V18" i="1"/>
  <c r="D9" i="1"/>
  <c r="AC9" i="1" s="1"/>
  <c r="Y10" i="1"/>
  <c r="I10" i="1"/>
  <c r="E12" i="1"/>
  <c r="U12" i="1"/>
  <c r="M12" i="1"/>
  <c r="E14" i="1"/>
  <c r="U14" i="1"/>
  <c r="M14" i="1"/>
  <c r="Z18" i="1"/>
  <c r="J18" i="1"/>
  <c r="X12" i="1"/>
  <c r="T12" i="1"/>
  <c r="P12" i="1"/>
  <c r="L12" i="1"/>
  <c r="H12" i="1"/>
  <c r="AB14" i="1"/>
  <c r="X14" i="1"/>
  <c r="T14" i="1"/>
  <c r="P14" i="1"/>
  <c r="L14" i="1"/>
  <c r="H14" i="1"/>
  <c r="AB18" i="1"/>
  <c r="X18" i="1"/>
  <c r="T18" i="1"/>
  <c r="P18" i="1"/>
  <c r="L18" i="1"/>
  <c r="H18" i="1"/>
  <c r="AB10" i="1"/>
  <c r="X10" i="1"/>
  <c r="T10" i="1"/>
  <c r="P10" i="1"/>
  <c r="L10" i="1"/>
  <c r="H10" i="1"/>
  <c r="E18" i="1"/>
  <c r="Y18" i="1"/>
  <c r="U18" i="1"/>
  <c r="Q18" i="1"/>
  <c r="M18" i="1"/>
  <c r="I18" i="1"/>
  <c r="AA10" i="1"/>
  <c r="W10" i="1"/>
  <c r="S10" i="1"/>
  <c r="O10" i="1"/>
  <c r="K10" i="1"/>
  <c r="G10" i="1"/>
  <c r="AB12" i="1"/>
  <c r="D17" i="1"/>
  <c r="AC17" i="1" s="1"/>
  <c r="Z10" i="1"/>
  <c r="V10" i="1"/>
  <c r="R10" i="1"/>
  <c r="N10" i="1"/>
  <c r="J10" i="1"/>
  <c r="AA12" i="1"/>
  <c r="W12" i="1"/>
  <c r="S12" i="1"/>
  <c r="O12" i="1"/>
  <c r="K12" i="1"/>
  <c r="AA14" i="1"/>
  <c r="W14" i="1"/>
  <c r="S14" i="1"/>
  <c r="O14" i="1"/>
  <c r="K14" i="1"/>
  <c r="AA18" i="1"/>
  <c r="W18" i="1"/>
  <c r="S18" i="1"/>
  <c r="O18" i="1"/>
  <c r="K18" i="1"/>
  <c r="AA16" i="1"/>
  <c r="W16" i="1"/>
  <c r="S16" i="1"/>
  <c r="O16" i="1"/>
  <c r="G16" i="1"/>
  <c r="D15" i="1"/>
  <c r="AC15" i="1" s="1"/>
  <c r="E16" i="1"/>
  <c r="Z16" i="1"/>
  <c r="V16" i="1"/>
  <c r="R16" i="1"/>
  <c r="N16" i="1"/>
  <c r="J16" i="1"/>
  <c r="F16" i="1"/>
  <c r="I16" i="1"/>
  <c r="Y16" i="1"/>
  <c r="U16" i="1"/>
  <c r="Q16" i="1"/>
  <c r="M16" i="1"/>
  <c r="AB16" i="1"/>
  <c r="X16" i="1"/>
  <c r="T16" i="1"/>
  <c r="P16" i="1"/>
  <c r="L16" i="1"/>
  <c r="H16" i="1"/>
  <c r="V20" i="1"/>
  <c r="E20" i="1"/>
  <c r="Y20" i="1"/>
  <c r="U20" i="1"/>
  <c r="Q20" i="1"/>
  <c r="M20" i="1"/>
  <c r="I20" i="1"/>
  <c r="Z20" i="1"/>
  <c r="D19" i="1"/>
  <c r="AC19" i="1" s="1"/>
  <c r="AB20" i="1"/>
  <c r="X20" i="1"/>
  <c r="T20" i="1"/>
  <c r="P20" i="1"/>
  <c r="L20" i="1"/>
  <c r="H20" i="1"/>
  <c r="AA20" i="1"/>
  <c r="W20" i="1"/>
  <c r="S20" i="1"/>
  <c r="O20" i="1"/>
  <c r="K20" i="1"/>
  <c r="G20" i="1"/>
  <c r="R20" i="1"/>
  <c r="N20" i="1"/>
  <c r="J20" i="1"/>
  <c r="Z22" i="1"/>
  <c r="E22" i="1"/>
  <c r="Y22" i="1"/>
  <c r="U22" i="1"/>
  <c r="Q22" i="1"/>
  <c r="M22" i="1"/>
  <c r="I22" i="1"/>
  <c r="D21" i="1"/>
  <c r="AC21" i="1" s="1"/>
  <c r="AB22" i="1"/>
  <c r="X22" i="1"/>
  <c r="T22" i="1"/>
  <c r="P22" i="1"/>
  <c r="L22" i="1"/>
  <c r="H22" i="1"/>
  <c r="AA22" i="1"/>
  <c r="W22" i="1"/>
  <c r="S22" i="1"/>
  <c r="O22" i="1"/>
  <c r="K22" i="1"/>
  <c r="G22" i="1"/>
  <c r="V22" i="1"/>
  <c r="R22" i="1"/>
  <c r="N22" i="1"/>
  <c r="J22" i="1"/>
  <c r="E8" i="1"/>
  <c r="I8" i="1"/>
  <c r="Y8" i="1"/>
  <c r="U8" i="1"/>
  <c r="Q8" i="1"/>
  <c r="M8" i="1"/>
  <c r="AB8" i="1"/>
  <c r="X8" i="1"/>
  <c r="T8" i="1"/>
  <c r="P8" i="1"/>
  <c r="L8" i="1"/>
  <c r="H8" i="1"/>
  <c r="AA8" i="1"/>
  <c r="W8" i="1"/>
  <c r="S8" i="1"/>
  <c r="O8" i="1"/>
  <c r="K8" i="1"/>
  <c r="G8" i="1"/>
  <c r="D7" i="1"/>
  <c r="Z8" i="1"/>
  <c r="V8" i="1"/>
  <c r="R8" i="1"/>
  <c r="N8" i="1"/>
  <c r="J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3" i="1"/>
  <c r="AC62" i="1"/>
  <c r="AC6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AC50" i="1"/>
  <c r="AC49" i="1"/>
  <c r="AC48" i="1"/>
  <c r="AC47" i="1"/>
  <c r="AC67" i="3" l="1"/>
  <c r="AC77" i="3" s="1"/>
  <c r="L68" i="3"/>
  <c r="M68" i="3" s="1"/>
  <c r="N68" i="3" s="1"/>
  <c r="O68" i="3" s="1"/>
  <c r="P68" i="3" s="1"/>
  <c r="Q68" i="3" s="1"/>
  <c r="R68" i="3" s="1"/>
  <c r="S68" i="3" s="1"/>
  <c r="T68" i="3" s="1"/>
  <c r="U68" i="3" s="1"/>
  <c r="V68" i="3" s="1"/>
  <c r="W68" i="3" s="1"/>
  <c r="X68" i="3" s="1"/>
  <c r="Y68" i="3" s="1"/>
  <c r="Z68" i="3" s="1"/>
  <c r="AA68" i="3" s="1"/>
  <c r="AB68" i="3" s="1"/>
  <c r="E23" i="1"/>
  <c r="E66" i="1" s="1"/>
  <c r="F23" i="1"/>
  <c r="F66" i="1" s="1"/>
  <c r="J23" i="1"/>
  <c r="J66" i="1" s="1"/>
  <c r="N23" i="1"/>
  <c r="N66" i="1" s="1"/>
  <c r="R23" i="1"/>
  <c r="R66" i="1" s="1"/>
  <c r="V23" i="1"/>
  <c r="V66" i="1" s="1"/>
  <c r="Z23" i="1"/>
  <c r="Z66" i="1" s="1"/>
  <c r="Q23" i="1"/>
  <c r="Q66" i="1" s="1"/>
  <c r="G23" i="1"/>
  <c r="G66" i="1" s="1"/>
  <c r="K23" i="1"/>
  <c r="K66" i="1" s="1"/>
  <c r="O23" i="1"/>
  <c r="O66" i="1" s="1"/>
  <c r="S23" i="1"/>
  <c r="S66" i="1" s="1"/>
  <c r="W23" i="1"/>
  <c r="W66" i="1" s="1"/>
  <c r="AA23" i="1"/>
  <c r="AA66" i="1" s="1"/>
  <c r="M23" i="1"/>
  <c r="M66" i="1" s="1"/>
  <c r="U23" i="1"/>
  <c r="U66" i="1" s="1"/>
  <c r="H23" i="1"/>
  <c r="H66" i="1" s="1"/>
  <c r="L23" i="1"/>
  <c r="L66" i="1" s="1"/>
  <c r="P23" i="1"/>
  <c r="P66" i="1" s="1"/>
  <c r="T23" i="1"/>
  <c r="T66" i="1" s="1"/>
  <c r="X23" i="1"/>
  <c r="X66" i="1" s="1"/>
  <c r="AB23" i="1"/>
  <c r="AB66" i="1" s="1"/>
  <c r="I23" i="1"/>
  <c r="I66" i="1" s="1"/>
  <c r="Y23" i="1"/>
  <c r="Y66" i="1" s="1"/>
  <c r="AC11" i="1"/>
  <c r="U24" i="1"/>
  <c r="F24" i="1"/>
  <c r="F67" i="1" s="1"/>
  <c r="G24" i="1"/>
  <c r="G67" i="1" s="1"/>
  <c r="P24" i="1"/>
  <c r="R24" i="1"/>
  <c r="R67" i="1" s="1"/>
  <c r="W24" i="1"/>
  <c r="M24" i="1"/>
  <c r="I24" i="1"/>
  <c r="T24" i="1"/>
  <c r="T67" i="1" s="1"/>
  <c r="J24" i="1"/>
  <c r="J67" i="1" s="1"/>
  <c r="K24" i="1"/>
  <c r="AA24" i="1"/>
  <c r="Q24" i="1"/>
  <c r="Z24" i="1"/>
  <c r="X24" i="1"/>
  <c r="V24" i="1"/>
  <c r="O24" i="1"/>
  <c r="H24" i="1"/>
  <c r="N24" i="1"/>
  <c r="S24" i="1"/>
  <c r="L24" i="1"/>
  <c r="AB24" i="1"/>
  <c r="Y24" i="1"/>
  <c r="AC7" i="1"/>
  <c r="AA44" i="1"/>
  <c r="W44" i="1"/>
  <c r="S44" i="1"/>
  <c r="O44" i="1"/>
  <c r="K44" i="1"/>
  <c r="G44" i="1"/>
  <c r="T44" i="1"/>
  <c r="L44" i="1"/>
  <c r="Z44" i="1"/>
  <c r="V44" i="1"/>
  <c r="R44" i="1"/>
  <c r="N44" i="1"/>
  <c r="J44" i="1"/>
  <c r="F44" i="1"/>
  <c r="X44" i="1"/>
  <c r="Y44" i="1"/>
  <c r="U44" i="1"/>
  <c r="Q44" i="1"/>
  <c r="M44" i="1"/>
  <c r="I44" i="1"/>
  <c r="AB44" i="1"/>
  <c r="P44" i="1"/>
  <c r="H44" i="1"/>
  <c r="AC10" i="1"/>
  <c r="AC20" i="1"/>
  <c r="AC14" i="1"/>
  <c r="AC12" i="1"/>
  <c r="AC22" i="1"/>
  <c r="AC18" i="1"/>
  <c r="AC51" i="1"/>
  <c r="E24" i="1"/>
  <c r="AC8" i="1"/>
  <c r="AC16" i="1"/>
  <c r="AC64" i="1"/>
  <c r="U25" i="1" l="1"/>
  <c r="I25" i="1"/>
  <c r="R68" i="1"/>
  <c r="P25" i="1"/>
  <c r="AC23" i="1"/>
  <c r="M25" i="1"/>
  <c r="W25" i="1"/>
  <c r="T68" i="1"/>
  <c r="G68" i="1"/>
  <c r="J25" i="1"/>
  <c r="U67" i="1"/>
  <c r="U68" i="1" s="1"/>
  <c r="W67" i="1"/>
  <c r="W68" i="1" s="1"/>
  <c r="M67" i="1"/>
  <c r="M68" i="1" s="1"/>
  <c r="P67" i="1"/>
  <c r="P68" i="1" s="1"/>
  <c r="I67" i="1"/>
  <c r="I68" i="1" s="1"/>
  <c r="F68" i="1"/>
  <c r="T25" i="1"/>
  <c r="F25" i="1"/>
  <c r="R25" i="1"/>
  <c r="J68" i="1"/>
  <c r="G25" i="1"/>
  <c r="V67" i="1"/>
  <c r="V68" i="1" s="1"/>
  <c r="V25" i="1"/>
  <c r="Z67" i="1"/>
  <c r="Z68" i="1" s="1"/>
  <c r="Z25" i="1"/>
  <c r="L67" i="1"/>
  <c r="L68" i="1" s="1"/>
  <c r="L25" i="1"/>
  <c r="O67" i="1"/>
  <c r="O68" i="1" s="1"/>
  <c r="O25" i="1"/>
  <c r="Q67" i="1"/>
  <c r="Q68" i="1" s="1"/>
  <c r="Q25" i="1"/>
  <c r="K25" i="1"/>
  <c r="K67" i="1"/>
  <c r="K68" i="1" s="1"/>
  <c r="H67" i="1"/>
  <c r="H68" i="1" s="1"/>
  <c r="H25" i="1"/>
  <c r="AA67" i="1"/>
  <c r="AA68" i="1" s="1"/>
  <c r="AA25" i="1"/>
  <c r="S67" i="1"/>
  <c r="S68" i="1" s="1"/>
  <c r="S25" i="1"/>
  <c r="AB67" i="1"/>
  <c r="AB68" i="1" s="1"/>
  <c r="AB25" i="1"/>
  <c r="E67" i="1"/>
  <c r="E25" i="1"/>
  <c r="Y67" i="1"/>
  <c r="Y68" i="1" s="1"/>
  <c r="Y25" i="1"/>
  <c r="N67" i="1"/>
  <c r="N68" i="1" s="1"/>
  <c r="N25" i="1"/>
  <c r="X67" i="1"/>
  <c r="X68" i="1" s="1"/>
  <c r="X25" i="1"/>
  <c r="AC43" i="1"/>
  <c r="AC44" i="1" s="1"/>
  <c r="E44" i="1"/>
  <c r="AC24" i="1"/>
  <c r="AC25" i="1" l="1"/>
  <c r="E68" i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7" i="1"/>
  <c r="AC66" i="1"/>
  <c r="AC68" i="1" l="1"/>
  <c r="AC78" i="1" s="1"/>
</calcChain>
</file>

<file path=xl/sharedStrings.xml><?xml version="1.0" encoding="utf-8"?>
<sst xmlns="http://schemas.openxmlformats.org/spreadsheetml/2006/main" count="247" uniqueCount="70">
  <si>
    <t>Monat</t>
  </si>
  <si>
    <t>[MMM JJ]</t>
  </si>
  <si>
    <t>TOTAL</t>
  </si>
  <si>
    <t>FERTIGUNGSKOSTEN</t>
  </si>
  <si>
    <t>Programmierung</t>
  </si>
  <si>
    <t>Art / Animation</t>
  </si>
  <si>
    <t>Audio</t>
  </si>
  <si>
    <t>Design</t>
  </si>
  <si>
    <t>Projektmanagement</t>
  </si>
  <si>
    <t>Qualitätssicherung</t>
  </si>
  <si>
    <t>[sonstige Funktion]</t>
  </si>
  <si>
    <t>Monatlich</t>
  </si>
  <si>
    <t>Outsourcing</t>
  </si>
  <si>
    <t>Absolut in Euro</t>
  </si>
  <si>
    <t>Lokalisierung</t>
  </si>
  <si>
    <t>Lizenzen</t>
  </si>
  <si>
    <t>[Markenlizenz]</t>
  </si>
  <si>
    <t>[Middleware]</t>
  </si>
  <si>
    <t>[Sonstige Lizenz]</t>
  </si>
  <si>
    <t xml:space="preserve">Sonstige </t>
  </si>
  <si>
    <t>Marketing &amp; Vertrieb*</t>
  </si>
  <si>
    <t>[Sonstige Kosten]</t>
  </si>
  <si>
    <t>NEBENKOSTEN</t>
  </si>
  <si>
    <t>Pauschal</t>
  </si>
  <si>
    <t>Einmalig</t>
  </si>
  <si>
    <t>Nebenkosten gesamt</t>
  </si>
  <si>
    <t>GESAMTHERSTELLUNGSKOSTEN</t>
  </si>
  <si>
    <t>Legende</t>
  </si>
  <si>
    <t>Eingabefeld</t>
  </si>
  <si>
    <t>[Eingabe]</t>
  </si>
  <si>
    <t>Ausgabefeld</t>
  </si>
  <si>
    <t>[Ausgabe]</t>
  </si>
  <si>
    <t>* Vertriebs- und Marketingkosten</t>
  </si>
  <si>
    <t>Dürfen maximal 25% der Gesdamtherstellungskosten betragen</t>
  </si>
  <si>
    <t>Rückstellung</t>
  </si>
  <si>
    <t>Rückstellung monatlich</t>
  </si>
  <si>
    <t>Kosten monatlich</t>
  </si>
  <si>
    <t>Kosten / Rückst.</t>
  </si>
  <si>
    <t>Gesamt</t>
  </si>
  <si>
    <t>Sachkosten</t>
  </si>
  <si>
    <t>[Hardware]</t>
  </si>
  <si>
    <t>Mieten</t>
  </si>
  <si>
    <t>Handlungskosten**</t>
  </si>
  <si>
    <t>[Sonstige]</t>
  </si>
  <si>
    <t>Fertigungskosten monatlich exkl. Rückstellungen</t>
  </si>
  <si>
    <t>Kalkulierter 
BW Effekt</t>
  </si>
  <si>
    <t>[Eigen-Beistellung]</t>
  </si>
  <si>
    <t>[Beistellung Dritter]</t>
  </si>
  <si>
    <t>(Freie) Mitarbeiter</t>
  </si>
  <si>
    <t>Kosten / MT</t>
  </si>
  <si>
    <t>Manntage</t>
  </si>
  <si>
    <t>[sonstige Dienstleistung]</t>
  </si>
  <si>
    <t>Rückstellungen gesamt</t>
  </si>
  <si>
    <t>Fertigungskosten monatlich inkl. Rückstellungen</t>
  </si>
  <si>
    <t>BW-Effekt Gesamt</t>
  </si>
  <si>
    <t>Richtet sich je nach Fördersumme nach den in den Merkblättern vermerkten Angaben. Kann nicht dem BW Effekt angerechnet werden</t>
  </si>
  <si>
    <t>** Handlungskosten</t>
  </si>
  <si>
    <t>Rückstellung Handlungskosten</t>
  </si>
  <si>
    <t>Fertigungskosten kumuliert inkl. Rückstellungen</t>
  </si>
  <si>
    <t>*** PWC-Prüfgebühr</t>
  </si>
  <si>
    <t>PWC-Prüfgebühr***</t>
  </si>
  <si>
    <t>DIESES TABELLENBLATT MUSS NICHT FÜR DIE ANTRAGSTELLUNG AUSGEFÜLLT WERDEN. ES DIENT NUR ALS OPTIONALE VORLAGE FÜR DIE DOKUMENTATION WÄHREND DES PROJEKTVERLAUFS</t>
  </si>
  <si>
    <t>Equipmentmiete</t>
  </si>
  <si>
    <t>Bitte passen Sie die Tabelle Ihren Bedürfnissen an. .</t>
  </si>
  <si>
    <t>Rückstellung Überschreitungsreserve</t>
  </si>
  <si>
    <t>Überschreitungsreserve****</t>
  </si>
  <si>
    <t>**** Überschreitungsreserve</t>
  </si>
  <si>
    <t>Darf maximal 10% der Fertigungskosten betragen</t>
  </si>
  <si>
    <t>ANLAGE 10 - KOSTENPLAN</t>
  </si>
  <si>
    <t>Dürfen pauschal maximal 10% der Fertigungskosten betragen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</si>
</sst>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[$€-1]"/>
    <numFmt numFmtId="165" formatCode="#,##0\ [$€-1]"/>
    <numFmt numFmtId="166" formatCode="0.0"/>
    <numFmt numFmtId="167" formatCode="_-* #,##0\ &quot;€&quot;_-;\-* #,##0\ &quot;€&quot;_-;_-* &quot;-&quot;??\ &quot;€&quot;_-;_-@_-"/>
    <numFmt numFmtId="168" formatCode="#,##0\ &quot;€&quot;"/>
  </numFmts>
  <fonts count="18">
    <font>
      <sz val="10"/>
      <color rgb="FF000000"/>
      <name val="Arial"/>
    </font>
    <font>
      <sz val="9"/>
      <color rgb="FF000000"/>
      <name val="Open Sans"/>
    </font>
    <font>
      <b/>
      <sz val="9"/>
      <color rgb="FF000000"/>
      <name val="Open Sans"/>
    </font>
    <font>
      <sz val="8"/>
      <color rgb="FF274E13"/>
      <name val="Open Sans"/>
    </font>
    <font>
      <sz val="10"/>
      <color rgb="FF000000"/>
      <name val="Open Sans"/>
    </font>
    <font>
      <b/>
      <sz val="8"/>
      <color rgb="FF000000"/>
      <name val="Open Sans"/>
    </font>
    <font>
      <sz val="8"/>
      <color rgb="FF000000"/>
      <name val="Open Sans"/>
    </font>
    <font>
      <b/>
      <sz val="10"/>
      <color rgb="FF000000"/>
      <name val="Open Sans"/>
    </font>
    <font>
      <sz val="10"/>
      <color theme="1"/>
      <name val="Open Sans"/>
    </font>
    <font>
      <sz val="10"/>
      <color rgb="FF1F497D"/>
      <name val="Arial"/>
      <family val="2"/>
    </font>
    <font>
      <sz val="10"/>
      <color rgb="FF000000"/>
      <name val="Arial"/>
      <family val="2"/>
    </font>
    <font>
      <sz val="8"/>
      <color rgb="FF4D4D4D"/>
      <name val="Open Sans"/>
    </font>
    <font>
      <b/>
      <sz val="8"/>
      <color rgb="FF4D4D4D"/>
      <name val="Open Sans"/>
    </font>
    <font>
      <b/>
      <sz val="8"/>
      <color rgb="FF274E13"/>
      <name val="Open Sans"/>
    </font>
    <font>
      <b/>
      <sz val="9"/>
      <name val="Open Sans"/>
    </font>
    <font>
      <sz val="9"/>
      <color rgb="FF000000"/>
      <name val="Arial"/>
      <family val="2"/>
    </font>
    <font>
      <b/>
      <sz val="8"/>
      <name val="Open Sans"/>
    </font>
    <font>
      <sz val="8"/>
      <name val="open sans"/>
    </font>
  </fonts>
  <fills count="1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0" tint="-4.9989318521683403E-2"/>
        <bgColor rgb="FFD9EAD3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rgb="FFD9EAD3"/>
        <bgColor indexed="64"/>
      </patternFill>
    </fill>
  </fills>
  <borders count="74">
    <border>
      <left/>
      <right/>
      <top/>
      <bottom/>
      <diagonal/>
    </border>
    <border>
      <left/>
      <right style="hair">
        <color rgb="FF274E13"/>
      </right>
      <top/>
      <bottom/>
      <diagonal/>
    </border>
    <border>
      <left/>
      <right/>
      <top/>
      <bottom style="hair">
        <color theme="0" tint="-0.34998626667073579"/>
      </bottom>
      <diagonal/>
    </border>
    <border>
      <left/>
      <right style="hair">
        <color rgb="FF274E13"/>
      </right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rgb="FF274E13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rgb="FF274E13"/>
      </right>
      <top style="hair">
        <color theme="0" tint="-0.34998626667073579"/>
      </top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 tint="-0.34998626667073579"/>
      </bottom>
      <diagonal/>
    </border>
    <border>
      <left/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499984740745262"/>
      </right>
      <top style="hair">
        <color theme="0" tint="-0.34998626667073579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dotted">
        <color theme="0" tint="-0.499984740745262"/>
      </right>
      <top/>
      <bottom/>
      <diagonal/>
    </border>
    <border>
      <left/>
      <right style="dotted">
        <color theme="0" tint="-0.499984740745262"/>
      </right>
      <top/>
      <bottom style="hair">
        <color theme="0" tint="-0.34998626667073579"/>
      </bottom>
      <diagonal/>
    </border>
    <border>
      <left/>
      <right style="dotted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theme="0" tint="-0.34998626667073579"/>
      </bottom>
      <diagonal/>
    </border>
    <border>
      <left style="medium">
        <color indexed="64"/>
      </left>
      <right/>
      <top/>
      <bottom style="hair">
        <color theme="0" tint="-0.499984740745262"/>
      </bottom>
      <diagonal/>
    </border>
    <border>
      <left/>
      <right style="medium">
        <color indexed="64"/>
      </right>
      <top/>
      <bottom style="hair">
        <color theme="0" tint="-0.499984740745262"/>
      </bottom>
      <diagonal/>
    </border>
    <border>
      <left style="medium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rgb="FF274E13"/>
      </right>
      <top/>
      <bottom style="thin">
        <color indexed="64"/>
      </bottom>
      <diagonal/>
    </border>
    <border>
      <left/>
      <right/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theme="0" tint="-0.499984740745262"/>
      </top>
      <bottom style="thin">
        <color indexed="64"/>
      </bottom>
      <diagonal/>
    </border>
    <border>
      <left/>
      <right style="medium">
        <color indexed="64"/>
      </right>
      <top style="hair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theme="0" tint="-0.34998626667073579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theme="0" tint="-0.34998626667073579"/>
      </top>
      <bottom style="thin">
        <color indexed="64"/>
      </bottom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thin">
        <color indexed="64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theme="0" tint="-0.34998626667073579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theme="0" tint="-0.34998626667073579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theme="0" tint="-0.3499862666707357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2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4" fillId="0" borderId="0" xfId="0" applyFont="1"/>
    <xf numFmtId="0" fontId="6" fillId="0" borderId="0" xfId="0" applyFont="1" applyAlignment="1"/>
    <xf numFmtId="0" fontId="8" fillId="0" borderId="0" xfId="0" applyFont="1"/>
    <xf numFmtId="0" fontId="6" fillId="0" borderId="0" xfId="0" applyFo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9" fillId="0" borderId="0" xfId="0" applyFont="1" applyAlignment="1"/>
    <xf numFmtId="165" fontId="3" fillId="2" borderId="0" xfId="0" applyNumberFormat="1" applyFont="1" applyFill="1" applyAlignment="1">
      <alignment horizontal="left" vertical="top"/>
    </xf>
    <xf numFmtId="165" fontId="5" fillId="4" borderId="0" xfId="0" applyNumberFormat="1" applyFont="1" applyFill="1" applyAlignment="1">
      <alignment horizontal="left" vertical="top"/>
    </xf>
    <xf numFmtId="165" fontId="3" fillId="2" borderId="2" xfId="0" applyNumberFormat="1" applyFont="1" applyFill="1" applyBorder="1" applyAlignment="1"/>
    <xf numFmtId="165" fontId="3" fillId="2" borderId="3" xfId="0" applyNumberFormat="1" applyFont="1" applyFill="1" applyBorder="1" applyAlignment="1"/>
    <xf numFmtId="164" fontId="5" fillId="4" borderId="2" xfId="0" applyNumberFormat="1" applyFont="1" applyFill="1" applyBorder="1" applyAlignment="1"/>
    <xf numFmtId="165" fontId="3" fillId="2" borderId="4" xfId="0" applyNumberFormat="1" applyFont="1" applyFill="1" applyBorder="1" applyAlignment="1"/>
    <xf numFmtId="165" fontId="3" fillId="2" borderId="5" xfId="0" applyNumberFormat="1" applyFont="1" applyFill="1" applyBorder="1" applyAlignment="1"/>
    <xf numFmtId="164" fontId="5" fillId="4" borderId="4" xfId="0" applyNumberFormat="1" applyFont="1" applyFill="1" applyBorder="1" applyAlignment="1"/>
    <xf numFmtId="165" fontId="3" fillId="2" borderId="6" xfId="0" applyNumberFormat="1" applyFont="1" applyFill="1" applyBorder="1" applyAlignment="1"/>
    <xf numFmtId="165" fontId="3" fillId="2" borderId="7" xfId="0" applyNumberFormat="1" applyFont="1" applyFill="1" applyBorder="1" applyAlignment="1"/>
    <xf numFmtId="164" fontId="5" fillId="4" borderId="6" xfId="0" applyNumberFormat="1" applyFont="1" applyFill="1" applyBorder="1" applyAlignment="1"/>
    <xf numFmtId="0" fontId="0" fillId="0" borderId="0" xfId="0" applyFont="1" applyAlignment="1"/>
    <xf numFmtId="0" fontId="6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 applyAlignment="1"/>
    <xf numFmtId="165" fontId="11" fillId="7" borderId="2" xfId="0" applyNumberFormat="1" applyFont="1" applyFill="1" applyBorder="1" applyAlignment="1">
      <alignment vertical="top"/>
    </xf>
    <xf numFmtId="165" fontId="11" fillId="7" borderId="2" xfId="0" applyNumberFormat="1" applyFont="1" applyFill="1" applyBorder="1" applyAlignment="1">
      <alignment horizontal="right" vertical="top"/>
    </xf>
    <xf numFmtId="165" fontId="11" fillId="7" borderId="4" xfId="0" applyNumberFormat="1" applyFont="1" applyFill="1" applyBorder="1" applyAlignment="1">
      <alignment horizontal="right" vertical="top"/>
    </xf>
    <xf numFmtId="165" fontId="11" fillId="7" borderId="6" xfId="0" applyNumberFormat="1" applyFont="1" applyFill="1" applyBorder="1" applyAlignment="1">
      <alignment horizontal="right" vertical="top"/>
    </xf>
    <xf numFmtId="165" fontId="13" fillId="2" borderId="2" xfId="0" applyNumberFormat="1" applyFont="1" applyFill="1" applyBorder="1" applyAlignment="1">
      <alignment vertical="top"/>
    </xf>
    <xf numFmtId="9" fontId="13" fillId="2" borderId="2" xfId="2" applyFont="1" applyFill="1" applyBorder="1" applyAlignment="1">
      <alignment horizontal="right" vertical="top"/>
    </xf>
    <xf numFmtId="165" fontId="13" fillId="2" borderId="4" xfId="0" applyNumberFormat="1" applyFont="1" applyFill="1" applyBorder="1" applyAlignment="1">
      <alignment horizontal="right" vertical="top"/>
    </xf>
    <xf numFmtId="165" fontId="13" fillId="2" borderId="6" xfId="0" applyNumberFormat="1" applyFont="1" applyFill="1" applyBorder="1" applyAlignment="1">
      <alignment horizontal="right" vertical="top"/>
    </xf>
    <xf numFmtId="166" fontId="13" fillId="2" borderId="2" xfId="0" applyNumberFormat="1" applyFont="1" applyFill="1" applyBorder="1" applyAlignment="1">
      <alignment vertical="center"/>
    </xf>
    <xf numFmtId="166" fontId="13" fillId="2" borderId="4" xfId="0" applyNumberFormat="1" applyFont="1" applyFill="1" applyBorder="1" applyAlignment="1">
      <alignment vertical="center"/>
    </xf>
    <xf numFmtId="166" fontId="13" fillId="2" borderId="6" xfId="0" applyNumberFormat="1" applyFont="1" applyFill="1" applyBorder="1" applyAlignment="1">
      <alignment vertical="center"/>
    </xf>
    <xf numFmtId="165" fontId="5" fillId="8" borderId="0" xfId="0" applyNumberFormat="1" applyFont="1" applyFill="1" applyBorder="1" applyAlignment="1"/>
    <xf numFmtId="165" fontId="5" fillId="8" borderId="0" xfId="0" applyNumberFormat="1" applyFont="1" applyFill="1" applyBorder="1"/>
    <xf numFmtId="165" fontId="3" fillId="10" borderId="0" xfId="0" applyNumberFormat="1" applyFont="1" applyFill="1" applyBorder="1"/>
    <xf numFmtId="165" fontId="3" fillId="10" borderId="1" xfId="0" applyNumberFormat="1" applyFont="1" applyFill="1" applyBorder="1"/>
    <xf numFmtId="164" fontId="5" fillId="8" borderId="0" xfId="0" applyNumberFormat="1" applyFont="1" applyFill="1" applyBorder="1" applyAlignment="1"/>
    <xf numFmtId="165" fontId="5" fillId="4" borderId="2" xfId="1" applyNumberFormat="1" applyFont="1" applyFill="1" applyBorder="1" applyAlignment="1">
      <alignment vertical="center"/>
    </xf>
    <xf numFmtId="165" fontId="12" fillId="4" borderId="2" xfId="1" applyNumberFormat="1" applyFont="1" applyFill="1" applyBorder="1" applyAlignment="1">
      <alignment horizontal="right" vertical="center"/>
    </xf>
    <xf numFmtId="0" fontId="0" fillId="0" borderId="0" xfId="0" applyFont="1" applyAlignment="1"/>
    <xf numFmtId="0" fontId="1" fillId="0" borderId="0" xfId="0" applyFont="1"/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6" fontId="13" fillId="2" borderId="9" xfId="0" applyNumberFormat="1" applyFont="1" applyFill="1" applyBorder="1" applyAlignment="1">
      <alignment vertical="center"/>
    </xf>
    <xf numFmtId="165" fontId="11" fillId="4" borderId="0" xfId="0" applyNumberFormat="1" applyFont="1" applyFill="1" applyBorder="1" applyAlignment="1">
      <alignment horizontal="right" vertical="center"/>
    </xf>
    <xf numFmtId="165" fontId="11" fillId="4" borderId="8" xfId="0" applyNumberFormat="1" applyFont="1" applyFill="1" applyBorder="1" applyAlignment="1">
      <alignment horizontal="right" vertical="center"/>
    </xf>
    <xf numFmtId="166" fontId="13" fillId="2" borderId="10" xfId="0" applyNumberFormat="1" applyFont="1" applyFill="1" applyBorder="1" applyAlignment="1">
      <alignment vertical="center"/>
    </xf>
    <xf numFmtId="166" fontId="13" fillId="2" borderId="11" xfId="0" applyNumberFormat="1" applyFont="1" applyFill="1" applyBorder="1" applyAlignment="1">
      <alignment vertical="center"/>
    </xf>
    <xf numFmtId="4" fontId="5" fillId="4" borderId="13" xfId="0" applyNumberFormat="1" applyFont="1" applyFill="1" applyBorder="1" applyAlignment="1"/>
    <xf numFmtId="165" fontId="5" fillId="4" borderId="13" xfId="0" applyNumberFormat="1" applyFont="1" applyFill="1" applyBorder="1" applyAlignment="1"/>
    <xf numFmtId="4" fontId="5" fillId="4" borderId="14" xfId="0" applyNumberFormat="1" applyFont="1" applyFill="1" applyBorder="1" applyAlignment="1"/>
    <xf numFmtId="165" fontId="5" fillId="4" borderId="14" xfId="0" applyNumberFormat="1" applyFont="1" applyFill="1" applyBorder="1" applyAlignment="1"/>
    <xf numFmtId="165" fontId="5" fillId="4" borderId="15" xfId="0" applyNumberFormat="1" applyFont="1" applyFill="1" applyBorder="1" applyAlignment="1"/>
    <xf numFmtId="166" fontId="13" fillId="2" borderId="17" xfId="0" applyNumberFormat="1" applyFont="1" applyFill="1" applyBorder="1" applyAlignment="1">
      <alignment vertical="center"/>
    </xf>
    <xf numFmtId="165" fontId="11" fillId="4" borderId="16" xfId="0" applyNumberFormat="1" applyFont="1" applyFill="1" applyBorder="1" applyAlignment="1">
      <alignment horizontal="right" vertical="center"/>
    </xf>
    <xf numFmtId="166" fontId="13" fillId="2" borderId="18" xfId="0" applyNumberFormat="1" applyFont="1" applyFill="1" applyBorder="1" applyAlignment="1">
      <alignment vertical="center"/>
    </xf>
    <xf numFmtId="0" fontId="0" fillId="0" borderId="21" xfId="0" applyFont="1" applyBorder="1" applyAlignment="1"/>
    <xf numFmtId="0" fontId="6" fillId="0" borderId="22" xfId="0" applyFont="1" applyBorder="1" applyAlignment="1"/>
    <xf numFmtId="0" fontId="11" fillId="0" borderId="22" xfId="0" applyFont="1" applyBorder="1" applyAlignment="1"/>
    <xf numFmtId="164" fontId="6" fillId="0" borderId="22" xfId="0" applyNumberFormat="1" applyFont="1" applyBorder="1" applyAlignment="1"/>
    <xf numFmtId="4" fontId="6" fillId="0" borderId="22" xfId="0" applyNumberFormat="1" applyFont="1" applyBorder="1" applyAlignment="1"/>
    <xf numFmtId="0" fontId="5" fillId="4" borderId="25" xfId="0" applyFont="1" applyFill="1" applyBorder="1" applyAlignment="1"/>
    <xf numFmtId="0" fontId="5" fillId="4" borderId="27" xfId="0" applyFont="1" applyFill="1" applyBorder="1" applyAlignment="1"/>
    <xf numFmtId="0" fontId="1" fillId="0" borderId="31" xfId="0" applyFont="1" applyBorder="1"/>
    <xf numFmtId="164" fontId="1" fillId="0" borderId="31" xfId="0" applyNumberFormat="1" applyFont="1" applyBorder="1" applyAlignment="1"/>
    <xf numFmtId="165" fontId="1" fillId="4" borderId="32" xfId="0" applyNumberFormat="1" applyFont="1" applyFill="1" applyBorder="1" applyAlignment="1"/>
    <xf numFmtId="165" fontId="5" fillId="4" borderId="32" xfId="0" applyNumberFormat="1" applyFont="1" applyFill="1" applyBorder="1" applyAlignment="1"/>
    <xf numFmtId="165" fontId="5" fillId="4" borderId="33" xfId="0" applyNumberFormat="1" applyFont="1" applyFill="1" applyBorder="1" applyAlignment="1"/>
    <xf numFmtId="164" fontId="2" fillId="4" borderId="32" xfId="0" applyNumberFormat="1" applyFont="1" applyFill="1" applyBorder="1" applyAlignment="1"/>
    <xf numFmtId="3" fontId="1" fillId="11" borderId="31" xfId="0" applyNumberFormat="1" applyFont="1" applyFill="1" applyBorder="1" applyAlignment="1"/>
    <xf numFmtId="0" fontId="5" fillId="0" borderId="3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4" fontId="2" fillId="4" borderId="34" xfId="0" applyNumberFormat="1" applyFont="1" applyFill="1" applyBorder="1" applyAlignment="1"/>
    <xf numFmtId="165" fontId="2" fillId="4" borderId="34" xfId="0" applyNumberFormat="1" applyFont="1" applyFill="1" applyBorder="1" applyAlignment="1"/>
    <xf numFmtId="165" fontId="2" fillId="4" borderId="35" xfId="0" applyNumberFormat="1" applyFont="1" applyFill="1" applyBorder="1" applyAlignment="1"/>
    <xf numFmtId="0" fontId="2" fillId="0" borderId="2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2" xfId="0" applyFont="1" applyBorder="1" applyAlignment="1"/>
    <xf numFmtId="0" fontId="4" fillId="0" borderId="0" xfId="0" applyFont="1" applyBorder="1"/>
    <xf numFmtId="0" fontId="2" fillId="11" borderId="37" xfId="0" applyFont="1" applyFill="1" applyBorder="1" applyAlignment="1"/>
    <xf numFmtId="0" fontId="2" fillId="4" borderId="39" xfId="0" applyFont="1" applyFill="1" applyBorder="1" applyAlignment="1"/>
    <xf numFmtId="0" fontId="2" fillId="8" borderId="22" xfId="0" applyFont="1" applyFill="1" applyBorder="1" applyAlignment="1"/>
    <xf numFmtId="4" fontId="2" fillId="8" borderId="0" xfId="0" applyNumberFormat="1" applyFont="1" applyFill="1" applyBorder="1" applyAlignment="1"/>
    <xf numFmtId="164" fontId="2" fillId="11" borderId="37" xfId="0" applyNumberFormat="1" applyFont="1" applyFill="1" applyBorder="1" applyAlignment="1"/>
    <xf numFmtId="0" fontId="2" fillId="4" borderId="41" xfId="0" applyFont="1" applyFill="1" applyBorder="1" applyAlignment="1"/>
    <xf numFmtId="165" fontId="5" fillId="8" borderId="0" xfId="0" applyNumberFormat="1" applyFont="1" applyFill="1" applyBorder="1" applyAlignment="1">
      <alignment horizontal="right" vertical="top"/>
    </xf>
    <xf numFmtId="4" fontId="2" fillId="11" borderId="37" xfId="0" applyNumberFormat="1" applyFont="1" applyFill="1" applyBorder="1" applyAlignment="1"/>
    <xf numFmtId="165" fontId="1" fillId="8" borderId="0" xfId="0" applyNumberFormat="1" applyFont="1" applyFill="1" applyBorder="1" applyAlignment="1"/>
    <xf numFmtId="0" fontId="2" fillId="9" borderId="22" xfId="0" applyFont="1" applyFill="1" applyBorder="1" applyAlignment="1"/>
    <xf numFmtId="0" fontId="1" fillId="9" borderId="0" xfId="0" applyFont="1" applyFill="1" applyBorder="1" applyAlignment="1">
      <alignment horizontal="center"/>
    </xf>
    <xf numFmtId="0" fontId="2" fillId="8" borderId="0" xfId="0" applyFont="1" applyFill="1" applyBorder="1"/>
    <xf numFmtId="0" fontId="2" fillId="0" borderId="37" xfId="0" applyFont="1" applyBorder="1" applyAlignment="1"/>
    <xf numFmtId="0" fontId="0" fillId="11" borderId="30" xfId="0" applyFont="1" applyFill="1" applyBorder="1" applyAlignment="1"/>
    <xf numFmtId="0" fontId="0" fillId="0" borderId="38" xfId="0" applyFont="1" applyBorder="1" applyAlignment="1"/>
    <xf numFmtId="167" fontId="14" fillId="7" borderId="40" xfId="1" applyNumberFormat="1" applyFont="1" applyFill="1" applyBorder="1" applyAlignment="1">
      <alignment vertical="center"/>
    </xf>
    <xf numFmtId="164" fontId="2" fillId="8" borderId="0" xfId="0" applyNumberFormat="1" applyFont="1" applyFill="1" applyBorder="1" applyAlignment="1"/>
    <xf numFmtId="0" fontId="0" fillId="0" borderId="23" xfId="0" applyFont="1" applyBorder="1" applyAlignment="1"/>
    <xf numFmtId="167" fontId="14" fillId="7" borderId="45" xfId="1" applyNumberFormat="1" applyFont="1" applyFill="1" applyBorder="1" applyAlignment="1">
      <alignment vertical="center"/>
    </xf>
    <xf numFmtId="164" fontId="7" fillId="4" borderId="30" xfId="0" applyNumberFormat="1" applyFont="1" applyFill="1" applyBorder="1"/>
    <xf numFmtId="167" fontId="14" fillId="7" borderId="44" xfId="1" applyNumberFormat="1" applyFont="1" applyFill="1" applyBorder="1" applyAlignment="1">
      <alignment vertical="center"/>
    </xf>
    <xf numFmtId="165" fontId="5" fillId="4" borderId="46" xfId="0" applyNumberFormat="1" applyFont="1" applyFill="1" applyBorder="1" applyAlignment="1"/>
    <xf numFmtId="165" fontId="5" fillId="4" borderId="47" xfId="0" applyNumberFormat="1" applyFont="1" applyFill="1" applyBorder="1" applyAlignment="1"/>
    <xf numFmtId="165" fontId="5" fillId="4" borderId="12" xfId="0" applyNumberFormat="1" applyFont="1" applyFill="1" applyBorder="1" applyAlignment="1"/>
    <xf numFmtId="165" fontId="2" fillId="4" borderId="48" xfId="0" applyNumberFormat="1" applyFont="1" applyFill="1" applyBorder="1" applyAlignment="1"/>
    <xf numFmtId="165" fontId="2" fillId="4" borderId="49" xfId="0" applyNumberFormat="1" applyFont="1" applyFill="1" applyBorder="1" applyAlignment="1"/>
    <xf numFmtId="0" fontId="5" fillId="4" borderId="50" xfId="0" applyFont="1" applyFill="1" applyBorder="1" applyAlignment="1"/>
    <xf numFmtId="0" fontId="5" fillId="4" borderId="51" xfId="0" applyFont="1" applyFill="1" applyBorder="1"/>
    <xf numFmtId="165" fontId="5" fillId="4" borderId="51" xfId="0" applyNumberFormat="1" applyFont="1" applyFill="1" applyBorder="1"/>
    <xf numFmtId="164" fontId="5" fillId="4" borderId="51" xfId="0" applyNumberFormat="1" applyFont="1" applyFill="1" applyBorder="1" applyAlignment="1"/>
    <xf numFmtId="0" fontId="5" fillId="4" borderId="52" xfId="0" applyFont="1" applyFill="1" applyBorder="1" applyAlignment="1"/>
    <xf numFmtId="0" fontId="5" fillId="4" borderId="53" xfId="0" applyFont="1" applyFill="1" applyBorder="1"/>
    <xf numFmtId="165" fontId="5" fillId="4" borderId="53" xfId="0" applyNumberFormat="1" applyFont="1" applyFill="1" applyBorder="1"/>
    <xf numFmtId="164" fontId="5" fillId="4" borderId="53" xfId="0" applyNumberFormat="1" applyFont="1" applyFill="1" applyBorder="1" applyAlignment="1"/>
    <xf numFmtId="0" fontId="2" fillId="4" borderId="54" xfId="0" applyFont="1" applyFill="1" applyBorder="1" applyAlignment="1"/>
    <xf numFmtId="0" fontId="2" fillId="4" borderId="55" xfId="0" applyFont="1" applyFill="1" applyBorder="1"/>
    <xf numFmtId="165" fontId="2" fillId="4" borderId="55" xfId="0" applyNumberFormat="1" applyFont="1" applyFill="1" applyBorder="1"/>
    <xf numFmtId="164" fontId="2" fillId="4" borderId="55" xfId="0" applyNumberFormat="1" applyFont="1" applyFill="1" applyBorder="1" applyAlignment="1"/>
    <xf numFmtId="165" fontId="3" fillId="0" borderId="0" xfId="0" applyNumberFormat="1" applyFont="1" applyFill="1" applyAlignment="1">
      <alignment horizontal="left" vertical="top"/>
    </xf>
    <xf numFmtId="165" fontId="5" fillId="0" borderId="0" xfId="0" applyNumberFormat="1" applyFont="1" applyFill="1" applyAlignment="1">
      <alignment horizontal="left" vertical="top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5" fontId="13" fillId="2" borderId="0" xfId="0" applyNumberFormat="1" applyFont="1" applyFill="1" applyBorder="1" applyAlignment="1">
      <alignment vertical="top"/>
    </xf>
    <xf numFmtId="0" fontId="2" fillId="4" borderId="56" xfId="0" applyFont="1" applyFill="1" applyBorder="1" applyAlignment="1"/>
    <xf numFmtId="0" fontId="1" fillId="4" borderId="57" xfId="0" applyFont="1" applyFill="1" applyBorder="1"/>
    <xf numFmtId="164" fontId="2" fillId="4" borderId="57" xfId="0" applyNumberFormat="1" applyFont="1" applyFill="1" applyBorder="1"/>
    <xf numFmtId="9" fontId="13" fillId="2" borderId="4" xfId="2" applyFont="1" applyFill="1" applyBorder="1" applyAlignment="1">
      <alignment vertical="top"/>
    </xf>
    <xf numFmtId="167" fontId="13" fillId="2" borderId="23" xfId="1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58" xfId="0" applyFont="1" applyBorder="1" applyAlignment="1"/>
    <xf numFmtId="0" fontId="6" fillId="0" borderId="59" xfId="0" applyFont="1" applyBorder="1" applyAlignment="1">
      <alignment horizontal="left" vertical="center"/>
    </xf>
    <xf numFmtId="165" fontId="13" fillId="2" borderId="59" xfId="0" applyNumberFormat="1" applyFont="1" applyFill="1" applyBorder="1" applyAlignment="1">
      <alignment vertical="top"/>
    </xf>
    <xf numFmtId="9" fontId="13" fillId="2" borderId="63" xfId="2" applyFont="1" applyFill="1" applyBorder="1" applyAlignment="1">
      <alignment vertical="top"/>
    </xf>
    <xf numFmtId="0" fontId="0" fillId="0" borderId="0" xfId="0" applyFont="1" applyAlignment="1"/>
    <xf numFmtId="0" fontId="2" fillId="4" borderId="37" xfId="0" applyFont="1" applyFill="1" applyBorder="1" applyAlignment="1"/>
    <xf numFmtId="0" fontId="1" fillId="4" borderId="31" xfId="0" applyFont="1" applyFill="1" applyBorder="1"/>
    <xf numFmtId="164" fontId="2" fillId="4" borderId="31" xfId="0" applyNumberFormat="1" applyFont="1" applyFill="1" applyBorder="1"/>
    <xf numFmtId="0" fontId="0" fillId="11" borderId="66" xfId="0" applyFont="1" applyFill="1" applyBorder="1" applyAlignment="1"/>
    <xf numFmtId="164" fontId="7" fillId="13" borderId="67" xfId="0" applyNumberFormat="1" applyFont="1" applyFill="1" applyBorder="1"/>
    <xf numFmtId="167" fontId="14" fillId="14" borderId="68" xfId="1" applyNumberFormat="1" applyFont="1" applyFill="1" applyBorder="1" applyAlignment="1">
      <alignment vertical="center"/>
    </xf>
    <xf numFmtId="165" fontId="2" fillId="13" borderId="34" xfId="0" applyNumberFormat="1" applyFont="1" applyFill="1" applyBorder="1" applyAlignment="1"/>
    <xf numFmtId="167" fontId="14" fillId="14" borderId="40" xfId="1" applyNumberFormat="1" applyFont="1" applyFill="1" applyBorder="1" applyAlignment="1">
      <alignment vertical="center"/>
    </xf>
    <xf numFmtId="165" fontId="2" fillId="13" borderId="48" xfId="0" applyNumberFormat="1" applyFont="1" applyFill="1" applyBorder="1" applyAlignment="1"/>
    <xf numFmtId="167" fontId="14" fillId="14" borderId="45" xfId="1" applyNumberFormat="1" applyFont="1" applyFill="1" applyBorder="1" applyAlignment="1">
      <alignment vertical="center"/>
    </xf>
    <xf numFmtId="164" fontId="2" fillId="13" borderId="32" xfId="0" applyNumberFormat="1" applyFont="1" applyFill="1" applyBorder="1" applyAlignment="1"/>
    <xf numFmtId="164" fontId="5" fillId="13" borderId="53" xfId="0" applyNumberFormat="1" applyFont="1" applyFill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70" xfId="0" applyFont="1" applyBorder="1"/>
    <xf numFmtId="0" fontId="6" fillId="0" borderId="70" xfId="0" applyFont="1" applyBorder="1"/>
    <xf numFmtId="168" fontId="16" fillId="15" borderId="71" xfId="0" applyNumberFormat="1" applyFont="1" applyFill="1" applyBorder="1"/>
    <xf numFmtId="9" fontId="16" fillId="15" borderId="71" xfId="0" applyNumberFormat="1" applyFont="1" applyFill="1" applyBorder="1"/>
    <xf numFmtId="0" fontId="6" fillId="0" borderId="73" xfId="0" applyFont="1" applyBorder="1" applyAlignment="1"/>
    <xf numFmtId="167" fontId="13" fillId="2" borderId="23" xfId="1" applyNumberFormat="1" applyFont="1" applyFill="1" applyBorder="1" applyAlignment="1">
      <alignment horizontal="center" vertical="center"/>
    </xf>
    <xf numFmtId="167" fontId="13" fillId="2" borderId="24" xfId="1" applyNumberFormat="1" applyFont="1" applyFill="1" applyBorder="1" applyAlignment="1">
      <alignment horizontal="center" vertical="center"/>
    </xf>
    <xf numFmtId="44" fontId="5" fillId="4" borderId="72" xfId="0" applyNumberFormat="1" applyFont="1" applyFill="1" applyBorder="1" applyAlignment="1">
      <alignment horizontal="right"/>
    </xf>
    <xf numFmtId="44" fontId="5" fillId="4" borderId="59" xfId="0" applyNumberFormat="1" applyFont="1" applyFill="1" applyBorder="1" applyAlignment="1">
      <alignment horizontal="right"/>
    </xf>
    <xf numFmtId="0" fontId="5" fillId="6" borderId="0" xfId="0" applyFont="1" applyFill="1" applyAlignment="1">
      <alignment vertical="center"/>
    </xf>
    <xf numFmtId="0" fontId="0" fillId="0" borderId="0" xfId="0" applyFont="1" applyAlignment="1"/>
    <xf numFmtId="0" fontId="17" fillId="0" borderId="0" xfId="0" applyFont="1" applyAlignment="1">
      <alignment vertical="top" wrapText="1"/>
    </xf>
    <xf numFmtId="0" fontId="5" fillId="0" borderId="0" xfId="0" applyFont="1" applyFill="1" applyAlignment="1">
      <alignment vertical="center"/>
    </xf>
    <xf numFmtId="0" fontId="0" fillId="0" borderId="0" xfId="0" applyFont="1" applyFill="1" applyAlignment="1"/>
    <xf numFmtId="44" fontId="5" fillId="4" borderId="69" xfId="0" applyNumberFormat="1" applyFont="1" applyFill="1" applyBorder="1" applyAlignment="1">
      <alignment horizontal="right"/>
    </xf>
    <xf numFmtId="44" fontId="5" fillId="4" borderId="70" xfId="0" applyNumberFormat="1" applyFont="1" applyFill="1" applyBorder="1" applyAlignment="1">
      <alignment horizontal="right"/>
    </xf>
    <xf numFmtId="167" fontId="13" fillId="2" borderId="60" xfId="1" applyNumberFormat="1" applyFont="1" applyFill="1" applyBorder="1" applyAlignment="1">
      <alignment horizontal="center" vertical="center"/>
    </xf>
    <xf numFmtId="167" fontId="13" fillId="2" borderId="64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19" xfId="0" applyFont="1" applyBorder="1" applyAlignment="1">
      <alignment vertical="center"/>
    </xf>
    <xf numFmtId="0" fontId="0" fillId="0" borderId="22" xfId="0" applyFont="1" applyBorder="1" applyAlignment="1"/>
    <xf numFmtId="164" fontId="5" fillId="3" borderId="31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" fontId="2" fillId="11" borderId="37" xfId="0" applyNumberFormat="1" applyFont="1" applyFill="1" applyBorder="1" applyAlignment="1">
      <alignment horizontal="left" vertical="center"/>
    </xf>
    <xf numFmtId="4" fontId="2" fillId="11" borderId="31" xfId="0" applyNumberFormat="1" applyFont="1" applyFill="1" applyBorder="1" applyAlignment="1">
      <alignment horizontal="left" vertical="center"/>
    </xf>
    <xf numFmtId="0" fontId="1" fillId="0" borderId="0" xfId="0" applyFont="1" applyBorder="1"/>
    <xf numFmtId="0" fontId="0" fillId="0" borderId="0" xfId="0" applyFont="1" applyBorder="1" applyAlignment="1"/>
    <xf numFmtId="0" fontId="0" fillId="0" borderId="31" xfId="0" applyFont="1" applyBorder="1" applyAlignment="1"/>
    <xf numFmtId="0" fontId="6" fillId="0" borderId="22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4" fontId="16" fillId="7" borderId="63" xfId="1" applyNumberFormat="1" applyFont="1" applyFill="1" applyBorder="1" applyAlignment="1">
      <alignment horizontal="right"/>
    </xf>
    <xf numFmtId="44" fontId="16" fillId="7" borderId="0" xfId="1" applyNumberFormat="1" applyFont="1" applyFill="1" applyBorder="1" applyAlignment="1">
      <alignment horizontal="right"/>
    </xf>
    <xf numFmtId="44" fontId="16" fillId="7" borderId="59" xfId="1" applyNumberFormat="1" applyFont="1" applyFill="1" applyBorder="1" applyAlignment="1">
      <alignment horizontal="right"/>
    </xf>
    <xf numFmtId="0" fontId="6" fillId="0" borderId="0" xfId="0" applyFont="1" applyAlignment="1">
      <alignment vertical="top" wrapText="1"/>
    </xf>
    <xf numFmtId="0" fontId="5" fillId="6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4" borderId="65" xfId="0" applyFont="1" applyFill="1" applyBorder="1" applyAlignment="1"/>
    <xf numFmtId="0" fontId="0" fillId="0" borderId="66" xfId="0" applyFont="1" applyBorder="1" applyAlignment="1"/>
    <xf numFmtId="0" fontId="5" fillId="5" borderId="0" xfId="0" applyFont="1" applyFill="1" applyAlignment="1">
      <alignment vertical="center"/>
    </xf>
    <xf numFmtId="0" fontId="4" fillId="4" borderId="66" xfId="0" applyFont="1" applyFill="1" applyBorder="1"/>
    <xf numFmtId="0" fontId="2" fillId="11" borderId="37" xfId="0" applyFont="1" applyFill="1" applyBorder="1" applyAlignment="1">
      <alignment horizontal="left" vertical="center"/>
    </xf>
    <xf numFmtId="0" fontId="2" fillId="11" borderId="31" xfId="0" applyFont="1" applyFill="1" applyBorder="1" applyAlignment="1">
      <alignment horizontal="left" vertical="center"/>
    </xf>
    <xf numFmtId="0" fontId="11" fillId="0" borderId="61" xfId="0" applyFont="1" applyBorder="1" applyAlignment="1">
      <alignment horizontal="left" vertical="center"/>
    </xf>
    <xf numFmtId="0" fontId="11" fillId="0" borderId="62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167" fontId="13" fillId="2" borderId="43" xfId="1" applyNumberFormat="1" applyFont="1" applyFill="1" applyBorder="1" applyAlignment="1">
      <alignment horizontal="center" vertical="center"/>
    </xf>
    <xf numFmtId="0" fontId="6" fillId="4" borderId="31" xfId="0" applyFont="1" applyFill="1" applyBorder="1"/>
    <xf numFmtId="0" fontId="1" fillId="4" borderId="31" xfId="0" applyFont="1" applyFill="1" applyBorder="1"/>
    <xf numFmtId="0" fontId="15" fillId="0" borderId="31" xfId="0" applyFont="1" applyBorder="1" applyAlignment="1"/>
    <xf numFmtId="0" fontId="2" fillId="0" borderId="38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12" borderId="30" xfId="0" applyFont="1" applyFill="1" applyBorder="1" applyAlignment="1">
      <alignment horizontal="left"/>
    </xf>
    <xf numFmtId="0" fontId="7" fillId="4" borderId="29" xfId="0" applyFont="1" applyFill="1" applyBorder="1" applyAlignment="1"/>
    <xf numFmtId="0" fontId="0" fillId="0" borderId="30" xfId="0" applyFont="1" applyBorder="1" applyAlignment="1"/>
    <xf numFmtId="0" fontId="4" fillId="4" borderId="30" xfId="0" applyFont="1" applyFill="1" applyBorder="1"/>
    <xf numFmtId="0" fontId="1" fillId="4" borderId="57" xfId="0" applyFont="1" applyFill="1" applyBorder="1"/>
    <xf numFmtId="0" fontId="15" fillId="0" borderId="57" xfId="0" applyFont="1" applyBorder="1" applyAlignment="1"/>
    <xf numFmtId="44" fontId="16" fillId="7" borderId="6" xfId="1" applyNumberFormat="1" applyFont="1" applyFill="1" applyBorder="1" applyAlignment="1">
      <alignment horizontal="right"/>
    </xf>
    <xf numFmtId="44" fontId="16" fillId="7" borderId="4" xfId="1" applyNumberFormat="1" applyFont="1" applyFill="1" applyBorder="1" applyAlignment="1">
      <alignment horizontal="right"/>
    </xf>
    <xf numFmtId="0" fontId="11" fillId="0" borderId="22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66CCFF"/>
      <color rgb="FFD9EAD3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1311275</xdr:colOff>
      <xdr:row>0</xdr:row>
      <xdr:rowOff>399869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0"/>
          <a:ext cx="1301750" cy="407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37"/>
  <sheetViews>
    <sheetView topLeftCell="A61" zoomScaleNormal="100" workbookViewId="0">
      <selection activeCell="H95" sqref="H95"/>
    </sheetView>
  </sheetViews>
  <sheetFormatPr baseColWidth="10" defaultColWidth="14.42578125" defaultRowHeight="15.75" customHeight="1"/>
  <cols>
    <col min="1" max="1" width="0.85546875" customWidth="1"/>
    <col min="2" max="2" width="21" customWidth="1"/>
    <col min="3" max="3" width="9.85546875" bestFit="1" customWidth="1"/>
    <col min="4" max="4" width="11.85546875" style="22" bestFit="1" customWidth="1"/>
    <col min="5" max="28" width="7.85546875" customWidth="1"/>
    <col min="29" max="30" width="11.42578125" bestFit="1" customWidth="1"/>
  </cols>
  <sheetData>
    <row r="1" spans="1:30" s="142" customFormat="1" ht="32.450000000000003" customHeight="1"/>
    <row r="2" spans="1:30" ht="13.5" thickBot="1">
      <c r="A2" s="1"/>
      <c r="B2" s="2" t="s">
        <v>68</v>
      </c>
      <c r="C2" s="2"/>
      <c r="D2" s="25"/>
      <c r="E2" s="176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</row>
    <row r="3" spans="1:30" ht="12.75">
      <c r="A3" s="1"/>
      <c r="B3" s="177"/>
      <c r="C3" s="180" t="s">
        <v>0</v>
      </c>
      <c r="D3" s="180"/>
      <c r="E3" s="80">
        <v>1</v>
      </c>
      <c r="F3" s="80">
        <v>2</v>
      </c>
      <c r="G3" s="81">
        <v>3</v>
      </c>
      <c r="H3" s="80">
        <v>4</v>
      </c>
      <c r="I3" s="80">
        <v>5</v>
      </c>
      <c r="J3" s="81">
        <v>6</v>
      </c>
      <c r="K3" s="80">
        <v>7</v>
      </c>
      <c r="L3" s="80">
        <v>8</v>
      </c>
      <c r="M3" s="81">
        <v>9</v>
      </c>
      <c r="N3" s="80">
        <v>10</v>
      </c>
      <c r="O3" s="80">
        <v>11</v>
      </c>
      <c r="P3" s="81">
        <v>12</v>
      </c>
      <c r="Q3" s="80">
        <v>13</v>
      </c>
      <c r="R3" s="80">
        <v>14</v>
      </c>
      <c r="S3" s="81">
        <v>15</v>
      </c>
      <c r="T3" s="80">
        <v>16</v>
      </c>
      <c r="U3" s="80">
        <v>17</v>
      </c>
      <c r="V3" s="81">
        <v>18</v>
      </c>
      <c r="W3" s="80">
        <v>19</v>
      </c>
      <c r="X3" s="80">
        <v>20</v>
      </c>
      <c r="Y3" s="81">
        <v>21</v>
      </c>
      <c r="Z3" s="80">
        <v>22</v>
      </c>
      <c r="AA3" s="80">
        <v>23</v>
      </c>
      <c r="AB3" s="81">
        <v>24</v>
      </c>
      <c r="AC3" s="80"/>
      <c r="AD3" s="61"/>
    </row>
    <row r="4" spans="1:30" ht="12.75">
      <c r="A4" s="1"/>
      <c r="B4" s="178"/>
      <c r="C4" s="181"/>
      <c r="D4" s="181"/>
      <c r="E4" s="46" t="s">
        <v>1</v>
      </c>
      <c r="F4" s="46" t="s">
        <v>1</v>
      </c>
      <c r="G4" s="47" t="s">
        <v>1</v>
      </c>
      <c r="H4" s="46" t="s">
        <v>1</v>
      </c>
      <c r="I4" s="46" t="s">
        <v>1</v>
      </c>
      <c r="J4" s="47" t="s">
        <v>1</v>
      </c>
      <c r="K4" s="46" t="s">
        <v>1</v>
      </c>
      <c r="L4" s="46" t="s">
        <v>1</v>
      </c>
      <c r="M4" s="47" t="s">
        <v>1</v>
      </c>
      <c r="N4" s="46" t="s">
        <v>1</v>
      </c>
      <c r="O4" s="46" t="s">
        <v>1</v>
      </c>
      <c r="P4" s="47" t="s">
        <v>1</v>
      </c>
      <c r="Q4" s="46" t="s">
        <v>1</v>
      </c>
      <c r="R4" s="46" t="s">
        <v>1</v>
      </c>
      <c r="S4" s="47" t="s">
        <v>1</v>
      </c>
      <c r="T4" s="46" t="s">
        <v>1</v>
      </c>
      <c r="U4" s="46" t="s">
        <v>1</v>
      </c>
      <c r="V4" s="47" t="s">
        <v>1</v>
      </c>
      <c r="W4" s="46" t="s">
        <v>1</v>
      </c>
      <c r="X4" s="46" t="s">
        <v>1</v>
      </c>
      <c r="Y4" s="47" t="s">
        <v>1</v>
      </c>
      <c r="Z4" s="46" t="s">
        <v>1</v>
      </c>
      <c r="AA4" s="46" t="s">
        <v>1</v>
      </c>
      <c r="AB4" s="47" t="s">
        <v>1</v>
      </c>
      <c r="AC4" s="181" t="s">
        <v>2</v>
      </c>
      <c r="AD4" s="205" t="s">
        <v>45</v>
      </c>
    </row>
    <row r="5" spans="1:30" ht="12.75">
      <c r="A5" s="1"/>
      <c r="B5" s="82" t="s">
        <v>3</v>
      </c>
      <c r="C5" s="83"/>
      <c r="D5" s="83"/>
      <c r="E5" s="186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1"/>
      <c r="AD5" s="205"/>
    </row>
    <row r="6" spans="1:30" ht="12.75">
      <c r="A6" s="1"/>
      <c r="B6" s="84" t="s">
        <v>48</v>
      </c>
      <c r="C6" s="75" t="s">
        <v>49</v>
      </c>
      <c r="D6" s="76" t="s">
        <v>37</v>
      </c>
      <c r="E6" s="179" t="s">
        <v>50</v>
      </c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69"/>
      <c r="AD6" s="98"/>
    </row>
    <row r="7" spans="1:30" ht="12.75">
      <c r="A7" s="1"/>
      <c r="B7" s="62" t="s">
        <v>4</v>
      </c>
      <c r="C7" s="30">
        <v>0</v>
      </c>
      <c r="D7" s="26">
        <f>C7-D8</f>
        <v>0</v>
      </c>
      <c r="E7" s="34">
        <v>10</v>
      </c>
      <c r="F7" s="34">
        <v>0</v>
      </c>
      <c r="G7" s="48">
        <v>0</v>
      </c>
      <c r="H7" s="34">
        <v>0</v>
      </c>
      <c r="I7" s="34">
        <v>0</v>
      </c>
      <c r="J7" s="48">
        <v>0</v>
      </c>
      <c r="K7" s="34">
        <v>0</v>
      </c>
      <c r="L7" s="34">
        <v>0</v>
      </c>
      <c r="M7" s="48">
        <v>0</v>
      </c>
      <c r="N7" s="34">
        <v>0</v>
      </c>
      <c r="O7" s="34">
        <v>0</v>
      </c>
      <c r="P7" s="48">
        <v>0</v>
      </c>
      <c r="Q7" s="34">
        <v>0</v>
      </c>
      <c r="R7" s="34">
        <v>0</v>
      </c>
      <c r="S7" s="48">
        <v>0</v>
      </c>
      <c r="T7" s="34">
        <v>0</v>
      </c>
      <c r="U7" s="34">
        <v>0</v>
      </c>
      <c r="V7" s="48">
        <v>0</v>
      </c>
      <c r="W7" s="34">
        <v>0</v>
      </c>
      <c r="X7" s="34">
        <v>0</v>
      </c>
      <c r="Y7" s="48">
        <v>0</v>
      </c>
      <c r="Z7" s="34">
        <v>0</v>
      </c>
      <c r="AA7" s="34">
        <v>0</v>
      </c>
      <c r="AB7" s="48">
        <v>0</v>
      </c>
      <c r="AC7" s="42">
        <f>SUM(E7:AB7)*D7</f>
        <v>0</v>
      </c>
      <c r="AD7" s="163">
        <v>0</v>
      </c>
    </row>
    <row r="8" spans="1:30" s="22" customFormat="1" ht="12.75">
      <c r="A8" s="24"/>
      <c r="B8" s="63" t="s">
        <v>34</v>
      </c>
      <c r="C8" s="31">
        <v>0</v>
      </c>
      <c r="D8" s="27">
        <f>C8*C7</f>
        <v>0</v>
      </c>
      <c r="E8" s="49">
        <f>E7*$D$8</f>
        <v>0</v>
      </c>
      <c r="F8" s="49">
        <f t="shared" ref="F8:AB8" si="0">F7*$D$8</f>
        <v>0</v>
      </c>
      <c r="G8" s="50">
        <f t="shared" si="0"/>
        <v>0</v>
      </c>
      <c r="H8" s="49">
        <f t="shared" si="0"/>
        <v>0</v>
      </c>
      <c r="I8" s="49">
        <f t="shared" si="0"/>
        <v>0</v>
      </c>
      <c r="J8" s="50">
        <f t="shared" si="0"/>
        <v>0</v>
      </c>
      <c r="K8" s="49">
        <f t="shared" si="0"/>
        <v>0</v>
      </c>
      <c r="L8" s="49">
        <f t="shared" si="0"/>
        <v>0</v>
      </c>
      <c r="M8" s="50">
        <f t="shared" si="0"/>
        <v>0</v>
      </c>
      <c r="N8" s="49">
        <f t="shared" si="0"/>
        <v>0</v>
      </c>
      <c r="O8" s="49">
        <f t="shared" si="0"/>
        <v>0</v>
      </c>
      <c r="P8" s="50">
        <f t="shared" si="0"/>
        <v>0</v>
      </c>
      <c r="Q8" s="49">
        <f t="shared" si="0"/>
        <v>0</v>
      </c>
      <c r="R8" s="49">
        <f t="shared" si="0"/>
        <v>0</v>
      </c>
      <c r="S8" s="50">
        <f t="shared" si="0"/>
        <v>0</v>
      </c>
      <c r="T8" s="49">
        <f t="shared" si="0"/>
        <v>0</v>
      </c>
      <c r="U8" s="49">
        <f t="shared" si="0"/>
        <v>0</v>
      </c>
      <c r="V8" s="50">
        <f t="shared" si="0"/>
        <v>0</v>
      </c>
      <c r="W8" s="49">
        <f t="shared" si="0"/>
        <v>0</v>
      </c>
      <c r="X8" s="49">
        <f t="shared" si="0"/>
        <v>0</v>
      </c>
      <c r="Y8" s="50">
        <f t="shared" si="0"/>
        <v>0</v>
      </c>
      <c r="Z8" s="49">
        <f t="shared" si="0"/>
        <v>0</v>
      </c>
      <c r="AA8" s="49">
        <f t="shared" si="0"/>
        <v>0</v>
      </c>
      <c r="AB8" s="50">
        <f t="shared" si="0"/>
        <v>0</v>
      </c>
      <c r="AC8" s="43">
        <f t="shared" ref="AC8:AC24" si="1">SUM(E8:AB8)</f>
        <v>0</v>
      </c>
      <c r="AD8" s="164"/>
    </row>
    <row r="9" spans="1:30" ht="12.75">
      <c r="A9" s="1"/>
      <c r="B9" s="62" t="s">
        <v>5</v>
      </c>
      <c r="C9" s="32">
        <v>0</v>
      </c>
      <c r="D9" s="28">
        <f>C9-D10</f>
        <v>0</v>
      </c>
      <c r="E9" s="35">
        <v>0</v>
      </c>
      <c r="F9" s="35">
        <v>0</v>
      </c>
      <c r="G9" s="51">
        <v>0</v>
      </c>
      <c r="H9" s="35">
        <v>0</v>
      </c>
      <c r="I9" s="35">
        <v>0</v>
      </c>
      <c r="J9" s="51">
        <v>0</v>
      </c>
      <c r="K9" s="35">
        <v>0</v>
      </c>
      <c r="L9" s="35">
        <v>0</v>
      </c>
      <c r="M9" s="51">
        <v>0</v>
      </c>
      <c r="N9" s="35">
        <v>0</v>
      </c>
      <c r="O9" s="35">
        <v>0</v>
      </c>
      <c r="P9" s="51">
        <v>0</v>
      </c>
      <c r="Q9" s="35">
        <v>0</v>
      </c>
      <c r="R9" s="35">
        <v>0</v>
      </c>
      <c r="S9" s="51">
        <v>0</v>
      </c>
      <c r="T9" s="35">
        <v>0</v>
      </c>
      <c r="U9" s="35">
        <v>0</v>
      </c>
      <c r="V9" s="51">
        <v>0</v>
      </c>
      <c r="W9" s="35">
        <v>0</v>
      </c>
      <c r="X9" s="35">
        <v>0</v>
      </c>
      <c r="Y9" s="51">
        <v>0</v>
      </c>
      <c r="Z9" s="35">
        <v>0</v>
      </c>
      <c r="AA9" s="35">
        <v>0</v>
      </c>
      <c r="AB9" s="51">
        <v>0</v>
      </c>
      <c r="AC9" s="42">
        <f>SUM(E9:AB9)*D9</f>
        <v>0</v>
      </c>
      <c r="AD9" s="163">
        <v>0</v>
      </c>
    </row>
    <row r="10" spans="1:30" s="22" customFormat="1" ht="12.75">
      <c r="A10" s="24"/>
      <c r="B10" s="63" t="s">
        <v>34</v>
      </c>
      <c r="C10" s="31">
        <v>0</v>
      </c>
      <c r="D10" s="27">
        <f>C10*C9</f>
        <v>0</v>
      </c>
      <c r="E10" s="49">
        <f>E9*$D$10</f>
        <v>0</v>
      </c>
      <c r="F10" s="49">
        <f t="shared" ref="F10:AB10" si="2">F9*$D$10</f>
        <v>0</v>
      </c>
      <c r="G10" s="50">
        <f t="shared" si="2"/>
        <v>0</v>
      </c>
      <c r="H10" s="49">
        <f t="shared" si="2"/>
        <v>0</v>
      </c>
      <c r="I10" s="49">
        <f t="shared" si="2"/>
        <v>0</v>
      </c>
      <c r="J10" s="50">
        <f t="shared" si="2"/>
        <v>0</v>
      </c>
      <c r="K10" s="49">
        <f t="shared" si="2"/>
        <v>0</v>
      </c>
      <c r="L10" s="49">
        <f t="shared" si="2"/>
        <v>0</v>
      </c>
      <c r="M10" s="50">
        <f t="shared" si="2"/>
        <v>0</v>
      </c>
      <c r="N10" s="49">
        <f t="shared" si="2"/>
        <v>0</v>
      </c>
      <c r="O10" s="49">
        <f t="shared" si="2"/>
        <v>0</v>
      </c>
      <c r="P10" s="50">
        <f t="shared" si="2"/>
        <v>0</v>
      </c>
      <c r="Q10" s="49">
        <f t="shared" si="2"/>
        <v>0</v>
      </c>
      <c r="R10" s="49">
        <f t="shared" si="2"/>
        <v>0</v>
      </c>
      <c r="S10" s="50">
        <f t="shared" si="2"/>
        <v>0</v>
      </c>
      <c r="T10" s="49">
        <f t="shared" si="2"/>
        <v>0</v>
      </c>
      <c r="U10" s="49">
        <f t="shared" si="2"/>
        <v>0</v>
      </c>
      <c r="V10" s="50">
        <f t="shared" si="2"/>
        <v>0</v>
      </c>
      <c r="W10" s="49">
        <f t="shared" si="2"/>
        <v>0</v>
      </c>
      <c r="X10" s="49">
        <f t="shared" si="2"/>
        <v>0</v>
      </c>
      <c r="Y10" s="50">
        <f t="shared" si="2"/>
        <v>0</v>
      </c>
      <c r="Z10" s="49">
        <f t="shared" si="2"/>
        <v>0</v>
      </c>
      <c r="AA10" s="49">
        <f t="shared" si="2"/>
        <v>0</v>
      </c>
      <c r="AB10" s="50">
        <f t="shared" si="2"/>
        <v>0</v>
      </c>
      <c r="AC10" s="43">
        <f t="shared" si="1"/>
        <v>0</v>
      </c>
      <c r="AD10" s="164"/>
    </row>
    <row r="11" spans="1:30" ht="12.75">
      <c r="A11" s="1"/>
      <c r="B11" s="64" t="s">
        <v>6</v>
      </c>
      <c r="C11" s="32">
        <v>0</v>
      </c>
      <c r="D11" s="28">
        <f>C11-D12</f>
        <v>0</v>
      </c>
      <c r="E11" s="35">
        <v>0</v>
      </c>
      <c r="F11" s="35">
        <v>0</v>
      </c>
      <c r="G11" s="51">
        <v>0</v>
      </c>
      <c r="H11" s="35">
        <v>0</v>
      </c>
      <c r="I11" s="35">
        <v>0</v>
      </c>
      <c r="J11" s="51">
        <v>0</v>
      </c>
      <c r="K11" s="35">
        <v>0</v>
      </c>
      <c r="L11" s="35">
        <v>0</v>
      </c>
      <c r="M11" s="51">
        <v>0</v>
      </c>
      <c r="N11" s="35">
        <v>0</v>
      </c>
      <c r="O11" s="35">
        <v>0</v>
      </c>
      <c r="P11" s="51">
        <v>0</v>
      </c>
      <c r="Q11" s="35">
        <v>0</v>
      </c>
      <c r="R11" s="35">
        <v>0</v>
      </c>
      <c r="S11" s="51">
        <v>0</v>
      </c>
      <c r="T11" s="35">
        <v>0</v>
      </c>
      <c r="U11" s="35">
        <v>0</v>
      </c>
      <c r="V11" s="51">
        <v>0</v>
      </c>
      <c r="W11" s="35">
        <v>0</v>
      </c>
      <c r="X11" s="35">
        <v>0</v>
      </c>
      <c r="Y11" s="51">
        <v>0</v>
      </c>
      <c r="Z11" s="35">
        <v>0</v>
      </c>
      <c r="AA11" s="35">
        <v>0</v>
      </c>
      <c r="AB11" s="51">
        <v>0</v>
      </c>
      <c r="AC11" s="42">
        <f>SUM(E11:AB11)*D11</f>
        <v>0</v>
      </c>
      <c r="AD11" s="163">
        <v>0</v>
      </c>
    </row>
    <row r="12" spans="1:30" s="22" customFormat="1" ht="12.75">
      <c r="A12" s="24"/>
      <c r="B12" s="63" t="s">
        <v>34</v>
      </c>
      <c r="C12" s="31">
        <v>0</v>
      </c>
      <c r="D12" s="27">
        <f>C12*C11</f>
        <v>0</v>
      </c>
      <c r="E12" s="49">
        <f>E11*$D$12</f>
        <v>0</v>
      </c>
      <c r="F12" s="49">
        <f t="shared" ref="F12:AB12" si="3">F11*$D$12</f>
        <v>0</v>
      </c>
      <c r="G12" s="50">
        <f t="shared" si="3"/>
        <v>0</v>
      </c>
      <c r="H12" s="49">
        <f t="shared" si="3"/>
        <v>0</v>
      </c>
      <c r="I12" s="49">
        <f t="shared" si="3"/>
        <v>0</v>
      </c>
      <c r="J12" s="50">
        <f t="shared" si="3"/>
        <v>0</v>
      </c>
      <c r="K12" s="49">
        <f t="shared" si="3"/>
        <v>0</v>
      </c>
      <c r="L12" s="49">
        <f t="shared" si="3"/>
        <v>0</v>
      </c>
      <c r="M12" s="50">
        <f t="shared" si="3"/>
        <v>0</v>
      </c>
      <c r="N12" s="49">
        <f t="shared" si="3"/>
        <v>0</v>
      </c>
      <c r="O12" s="49">
        <f t="shared" si="3"/>
        <v>0</v>
      </c>
      <c r="P12" s="50">
        <f t="shared" si="3"/>
        <v>0</v>
      </c>
      <c r="Q12" s="49">
        <f t="shared" si="3"/>
        <v>0</v>
      </c>
      <c r="R12" s="49">
        <f t="shared" si="3"/>
        <v>0</v>
      </c>
      <c r="S12" s="50">
        <f t="shared" si="3"/>
        <v>0</v>
      </c>
      <c r="T12" s="49">
        <f t="shared" si="3"/>
        <v>0</v>
      </c>
      <c r="U12" s="49">
        <f t="shared" si="3"/>
        <v>0</v>
      </c>
      <c r="V12" s="50">
        <f t="shared" si="3"/>
        <v>0</v>
      </c>
      <c r="W12" s="49">
        <f t="shared" si="3"/>
        <v>0</v>
      </c>
      <c r="X12" s="49">
        <f t="shared" si="3"/>
        <v>0</v>
      </c>
      <c r="Y12" s="50">
        <f t="shared" si="3"/>
        <v>0</v>
      </c>
      <c r="Z12" s="49">
        <f t="shared" si="3"/>
        <v>0</v>
      </c>
      <c r="AA12" s="49">
        <f t="shared" si="3"/>
        <v>0</v>
      </c>
      <c r="AB12" s="50">
        <f t="shared" si="3"/>
        <v>0</v>
      </c>
      <c r="AC12" s="43">
        <f t="shared" si="1"/>
        <v>0</v>
      </c>
      <c r="AD12" s="164"/>
    </row>
    <row r="13" spans="1:30" ht="12.75">
      <c r="A13" s="1"/>
      <c r="B13" s="62" t="s">
        <v>7</v>
      </c>
      <c r="C13" s="32">
        <v>0</v>
      </c>
      <c r="D13" s="28">
        <f>C13-D14</f>
        <v>0</v>
      </c>
      <c r="E13" s="35">
        <v>0</v>
      </c>
      <c r="F13" s="35">
        <v>0</v>
      </c>
      <c r="G13" s="51">
        <v>0</v>
      </c>
      <c r="H13" s="35">
        <v>0</v>
      </c>
      <c r="I13" s="35">
        <v>0</v>
      </c>
      <c r="J13" s="51">
        <v>0</v>
      </c>
      <c r="K13" s="35">
        <v>0</v>
      </c>
      <c r="L13" s="35">
        <v>0</v>
      </c>
      <c r="M13" s="51">
        <v>0</v>
      </c>
      <c r="N13" s="35">
        <v>0</v>
      </c>
      <c r="O13" s="35">
        <v>0</v>
      </c>
      <c r="P13" s="51">
        <v>0</v>
      </c>
      <c r="Q13" s="35">
        <v>0</v>
      </c>
      <c r="R13" s="35">
        <v>0</v>
      </c>
      <c r="S13" s="51">
        <v>0</v>
      </c>
      <c r="T13" s="35">
        <v>0</v>
      </c>
      <c r="U13" s="35">
        <v>0</v>
      </c>
      <c r="V13" s="51">
        <v>0</v>
      </c>
      <c r="W13" s="35">
        <v>0</v>
      </c>
      <c r="X13" s="35">
        <v>0</v>
      </c>
      <c r="Y13" s="51">
        <v>0</v>
      </c>
      <c r="Z13" s="35">
        <v>0</v>
      </c>
      <c r="AA13" s="35">
        <v>0</v>
      </c>
      <c r="AB13" s="51">
        <v>0</v>
      </c>
      <c r="AC13" s="42">
        <f>SUM(E13:AB13)*D13</f>
        <v>0</v>
      </c>
      <c r="AD13" s="163">
        <v>0</v>
      </c>
    </row>
    <row r="14" spans="1:30" s="22" customFormat="1" ht="12.75">
      <c r="A14" s="24"/>
      <c r="B14" s="63" t="s">
        <v>34</v>
      </c>
      <c r="C14" s="31">
        <v>0</v>
      </c>
      <c r="D14" s="27">
        <f>C14*C13</f>
        <v>0</v>
      </c>
      <c r="E14" s="49">
        <f>E13*$D$14</f>
        <v>0</v>
      </c>
      <c r="F14" s="49">
        <f t="shared" ref="F14:AB14" si="4">F13*$D$14</f>
        <v>0</v>
      </c>
      <c r="G14" s="50">
        <f t="shared" si="4"/>
        <v>0</v>
      </c>
      <c r="H14" s="49">
        <f t="shared" si="4"/>
        <v>0</v>
      </c>
      <c r="I14" s="49">
        <f t="shared" si="4"/>
        <v>0</v>
      </c>
      <c r="J14" s="50">
        <f t="shared" si="4"/>
        <v>0</v>
      </c>
      <c r="K14" s="49">
        <f t="shared" si="4"/>
        <v>0</v>
      </c>
      <c r="L14" s="49">
        <f t="shared" si="4"/>
        <v>0</v>
      </c>
      <c r="M14" s="50">
        <f t="shared" si="4"/>
        <v>0</v>
      </c>
      <c r="N14" s="49">
        <f t="shared" si="4"/>
        <v>0</v>
      </c>
      <c r="O14" s="49">
        <f t="shared" si="4"/>
        <v>0</v>
      </c>
      <c r="P14" s="50">
        <f t="shared" si="4"/>
        <v>0</v>
      </c>
      <c r="Q14" s="49">
        <f t="shared" si="4"/>
        <v>0</v>
      </c>
      <c r="R14" s="49">
        <f t="shared" si="4"/>
        <v>0</v>
      </c>
      <c r="S14" s="50">
        <f t="shared" si="4"/>
        <v>0</v>
      </c>
      <c r="T14" s="49">
        <f t="shared" si="4"/>
        <v>0</v>
      </c>
      <c r="U14" s="49">
        <f t="shared" si="4"/>
        <v>0</v>
      </c>
      <c r="V14" s="50">
        <f t="shared" si="4"/>
        <v>0</v>
      </c>
      <c r="W14" s="49">
        <f t="shared" si="4"/>
        <v>0</v>
      </c>
      <c r="X14" s="49">
        <f t="shared" si="4"/>
        <v>0</v>
      </c>
      <c r="Y14" s="50">
        <f t="shared" si="4"/>
        <v>0</v>
      </c>
      <c r="Z14" s="49">
        <f t="shared" si="4"/>
        <v>0</v>
      </c>
      <c r="AA14" s="49">
        <f t="shared" si="4"/>
        <v>0</v>
      </c>
      <c r="AB14" s="50">
        <f t="shared" si="4"/>
        <v>0</v>
      </c>
      <c r="AC14" s="43">
        <f t="shared" si="1"/>
        <v>0</v>
      </c>
      <c r="AD14" s="164"/>
    </row>
    <row r="15" spans="1:30" ht="12.75">
      <c r="A15" s="1"/>
      <c r="B15" s="64" t="s">
        <v>8</v>
      </c>
      <c r="C15" s="32">
        <v>0</v>
      </c>
      <c r="D15" s="28">
        <f>C15-D16</f>
        <v>0</v>
      </c>
      <c r="E15" s="35">
        <v>0</v>
      </c>
      <c r="F15" s="35">
        <v>0</v>
      </c>
      <c r="G15" s="51">
        <v>0</v>
      </c>
      <c r="H15" s="35">
        <v>0</v>
      </c>
      <c r="I15" s="35">
        <v>0</v>
      </c>
      <c r="J15" s="51">
        <v>0</v>
      </c>
      <c r="K15" s="35">
        <v>0</v>
      </c>
      <c r="L15" s="35">
        <v>0</v>
      </c>
      <c r="M15" s="51">
        <v>0</v>
      </c>
      <c r="N15" s="35">
        <v>0</v>
      </c>
      <c r="O15" s="35">
        <v>0</v>
      </c>
      <c r="P15" s="51">
        <v>0</v>
      </c>
      <c r="Q15" s="35">
        <v>0</v>
      </c>
      <c r="R15" s="35">
        <v>0</v>
      </c>
      <c r="S15" s="51">
        <v>0</v>
      </c>
      <c r="T15" s="35">
        <v>0</v>
      </c>
      <c r="U15" s="35">
        <v>0</v>
      </c>
      <c r="V15" s="51">
        <v>0</v>
      </c>
      <c r="W15" s="35">
        <v>0</v>
      </c>
      <c r="X15" s="35">
        <v>0</v>
      </c>
      <c r="Y15" s="51">
        <v>0</v>
      </c>
      <c r="Z15" s="35">
        <v>0</v>
      </c>
      <c r="AA15" s="35">
        <v>0</v>
      </c>
      <c r="AB15" s="51">
        <v>0</v>
      </c>
      <c r="AC15" s="42">
        <f>SUM(E15:AB15)*D15</f>
        <v>0</v>
      </c>
      <c r="AD15" s="163">
        <v>0</v>
      </c>
    </row>
    <row r="16" spans="1:30" s="22" customFormat="1" ht="12.75">
      <c r="A16" s="24"/>
      <c r="B16" s="63" t="s">
        <v>34</v>
      </c>
      <c r="C16" s="31">
        <v>0</v>
      </c>
      <c r="D16" s="27">
        <f>C16*C15</f>
        <v>0</v>
      </c>
      <c r="E16" s="49">
        <f>E15*$D$16</f>
        <v>0</v>
      </c>
      <c r="F16" s="49">
        <f t="shared" ref="F16:AB16" si="5">F15*$D$16</f>
        <v>0</v>
      </c>
      <c r="G16" s="50">
        <f t="shared" si="5"/>
        <v>0</v>
      </c>
      <c r="H16" s="49">
        <f t="shared" si="5"/>
        <v>0</v>
      </c>
      <c r="I16" s="49">
        <f t="shared" si="5"/>
        <v>0</v>
      </c>
      <c r="J16" s="50">
        <f t="shared" si="5"/>
        <v>0</v>
      </c>
      <c r="K16" s="49">
        <f t="shared" si="5"/>
        <v>0</v>
      </c>
      <c r="L16" s="49">
        <f t="shared" si="5"/>
        <v>0</v>
      </c>
      <c r="M16" s="50">
        <f t="shared" si="5"/>
        <v>0</v>
      </c>
      <c r="N16" s="49">
        <f t="shared" si="5"/>
        <v>0</v>
      </c>
      <c r="O16" s="49">
        <f t="shared" si="5"/>
        <v>0</v>
      </c>
      <c r="P16" s="50">
        <f t="shared" si="5"/>
        <v>0</v>
      </c>
      <c r="Q16" s="49">
        <f t="shared" si="5"/>
        <v>0</v>
      </c>
      <c r="R16" s="49">
        <f t="shared" si="5"/>
        <v>0</v>
      </c>
      <c r="S16" s="50">
        <f t="shared" si="5"/>
        <v>0</v>
      </c>
      <c r="T16" s="49">
        <f t="shared" si="5"/>
        <v>0</v>
      </c>
      <c r="U16" s="49">
        <f t="shared" si="5"/>
        <v>0</v>
      </c>
      <c r="V16" s="50">
        <f t="shared" si="5"/>
        <v>0</v>
      </c>
      <c r="W16" s="49">
        <f t="shared" si="5"/>
        <v>0</v>
      </c>
      <c r="X16" s="49">
        <f t="shared" si="5"/>
        <v>0</v>
      </c>
      <c r="Y16" s="50">
        <f t="shared" si="5"/>
        <v>0</v>
      </c>
      <c r="Z16" s="49">
        <f t="shared" si="5"/>
        <v>0</v>
      </c>
      <c r="AA16" s="49">
        <f t="shared" si="5"/>
        <v>0</v>
      </c>
      <c r="AB16" s="50">
        <f t="shared" si="5"/>
        <v>0</v>
      </c>
      <c r="AC16" s="43">
        <f t="shared" si="1"/>
        <v>0</v>
      </c>
      <c r="AD16" s="164"/>
    </row>
    <row r="17" spans="1:30" ht="12.75">
      <c r="A17" s="1"/>
      <c r="B17" s="65" t="s">
        <v>9</v>
      </c>
      <c r="C17" s="32">
        <v>0</v>
      </c>
      <c r="D17" s="28">
        <f>C17-D18</f>
        <v>0</v>
      </c>
      <c r="E17" s="35">
        <v>0</v>
      </c>
      <c r="F17" s="35">
        <v>0</v>
      </c>
      <c r="G17" s="51">
        <v>0</v>
      </c>
      <c r="H17" s="35">
        <v>0</v>
      </c>
      <c r="I17" s="35">
        <v>0</v>
      </c>
      <c r="J17" s="51">
        <v>0</v>
      </c>
      <c r="K17" s="35">
        <v>0</v>
      </c>
      <c r="L17" s="35">
        <v>0</v>
      </c>
      <c r="M17" s="51">
        <v>0</v>
      </c>
      <c r="N17" s="35">
        <v>0</v>
      </c>
      <c r="O17" s="35">
        <v>0</v>
      </c>
      <c r="P17" s="51">
        <v>0</v>
      </c>
      <c r="Q17" s="35">
        <v>0</v>
      </c>
      <c r="R17" s="35">
        <v>0</v>
      </c>
      <c r="S17" s="51">
        <v>0</v>
      </c>
      <c r="T17" s="35">
        <v>0</v>
      </c>
      <c r="U17" s="35">
        <v>0</v>
      </c>
      <c r="V17" s="51">
        <v>0</v>
      </c>
      <c r="W17" s="35">
        <v>0</v>
      </c>
      <c r="X17" s="35">
        <v>0</v>
      </c>
      <c r="Y17" s="51">
        <v>0</v>
      </c>
      <c r="Z17" s="35">
        <v>0</v>
      </c>
      <c r="AA17" s="35">
        <v>0</v>
      </c>
      <c r="AB17" s="51">
        <v>0</v>
      </c>
      <c r="AC17" s="42">
        <f>SUM(E17:AB17)*D17</f>
        <v>0</v>
      </c>
      <c r="AD17" s="163">
        <v>0</v>
      </c>
    </row>
    <row r="18" spans="1:30" s="22" customFormat="1" ht="12.75">
      <c r="A18" s="24"/>
      <c r="B18" s="63" t="s">
        <v>34</v>
      </c>
      <c r="C18" s="31">
        <v>0</v>
      </c>
      <c r="D18" s="27">
        <f>C18*C17</f>
        <v>0</v>
      </c>
      <c r="E18" s="49">
        <f>E17*$D$18</f>
        <v>0</v>
      </c>
      <c r="F18" s="49">
        <f t="shared" ref="F18:AB18" si="6">F17*$D$18</f>
        <v>0</v>
      </c>
      <c r="G18" s="50">
        <f t="shared" si="6"/>
        <v>0</v>
      </c>
      <c r="H18" s="49">
        <f t="shared" si="6"/>
        <v>0</v>
      </c>
      <c r="I18" s="49">
        <f t="shared" si="6"/>
        <v>0</v>
      </c>
      <c r="J18" s="50">
        <f t="shared" si="6"/>
        <v>0</v>
      </c>
      <c r="K18" s="49">
        <f t="shared" si="6"/>
        <v>0</v>
      </c>
      <c r="L18" s="49">
        <f t="shared" si="6"/>
        <v>0</v>
      </c>
      <c r="M18" s="50">
        <f t="shared" si="6"/>
        <v>0</v>
      </c>
      <c r="N18" s="49">
        <f t="shared" si="6"/>
        <v>0</v>
      </c>
      <c r="O18" s="49">
        <f t="shared" si="6"/>
        <v>0</v>
      </c>
      <c r="P18" s="50">
        <f t="shared" si="6"/>
        <v>0</v>
      </c>
      <c r="Q18" s="49">
        <f t="shared" si="6"/>
        <v>0</v>
      </c>
      <c r="R18" s="49">
        <f t="shared" si="6"/>
        <v>0</v>
      </c>
      <c r="S18" s="50">
        <f t="shared" si="6"/>
        <v>0</v>
      </c>
      <c r="T18" s="49">
        <f t="shared" si="6"/>
        <v>0</v>
      </c>
      <c r="U18" s="49">
        <f t="shared" si="6"/>
        <v>0</v>
      </c>
      <c r="V18" s="50">
        <f t="shared" si="6"/>
        <v>0</v>
      </c>
      <c r="W18" s="49">
        <f t="shared" si="6"/>
        <v>0</v>
      </c>
      <c r="X18" s="49">
        <f t="shared" si="6"/>
        <v>0</v>
      </c>
      <c r="Y18" s="50">
        <f t="shared" si="6"/>
        <v>0</v>
      </c>
      <c r="Z18" s="49">
        <f t="shared" si="6"/>
        <v>0</v>
      </c>
      <c r="AA18" s="49">
        <f t="shared" si="6"/>
        <v>0</v>
      </c>
      <c r="AB18" s="50">
        <f t="shared" si="6"/>
        <v>0</v>
      </c>
      <c r="AC18" s="43">
        <f t="shared" si="1"/>
        <v>0</v>
      </c>
      <c r="AD18" s="164"/>
    </row>
    <row r="19" spans="1:30" ht="12.75">
      <c r="A19" s="1"/>
      <c r="B19" s="64" t="s">
        <v>10</v>
      </c>
      <c r="C19" s="32">
        <v>0</v>
      </c>
      <c r="D19" s="28">
        <f>C19-D20</f>
        <v>0</v>
      </c>
      <c r="E19" s="35">
        <v>0</v>
      </c>
      <c r="F19" s="35">
        <v>0</v>
      </c>
      <c r="G19" s="51">
        <v>0</v>
      </c>
      <c r="H19" s="35">
        <v>0</v>
      </c>
      <c r="I19" s="35">
        <v>0</v>
      </c>
      <c r="J19" s="51">
        <v>0</v>
      </c>
      <c r="K19" s="35">
        <v>0</v>
      </c>
      <c r="L19" s="35">
        <v>0</v>
      </c>
      <c r="M19" s="51">
        <v>0</v>
      </c>
      <c r="N19" s="35">
        <v>0</v>
      </c>
      <c r="O19" s="35">
        <v>0</v>
      </c>
      <c r="P19" s="51">
        <v>0</v>
      </c>
      <c r="Q19" s="35">
        <v>0</v>
      </c>
      <c r="R19" s="35">
        <v>0</v>
      </c>
      <c r="S19" s="51">
        <v>0</v>
      </c>
      <c r="T19" s="35">
        <v>0</v>
      </c>
      <c r="U19" s="35">
        <v>0</v>
      </c>
      <c r="V19" s="51">
        <v>0</v>
      </c>
      <c r="W19" s="35">
        <v>0</v>
      </c>
      <c r="X19" s="35">
        <v>0</v>
      </c>
      <c r="Y19" s="51">
        <v>0</v>
      </c>
      <c r="Z19" s="35">
        <v>0</v>
      </c>
      <c r="AA19" s="35">
        <v>0</v>
      </c>
      <c r="AB19" s="51">
        <v>0</v>
      </c>
      <c r="AC19" s="42">
        <f>SUM(E19:AB19)*D19</f>
        <v>0</v>
      </c>
      <c r="AD19" s="163">
        <v>0</v>
      </c>
    </row>
    <row r="20" spans="1:30" s="22" customFormat="1" ht="12.75">
      <c r="A20" s="24"/>
      <c r="B20" s="63" t="s">
        <v>34</v>
      </c>
      <c r="C20" s="31">
        <v>0</v>
      </c>
      <c r="D20" s="27">
        <f>C20*C19</f>
        <v>0</v>
      </c>
      <c r="E20" s="49">
        <f>E19*$D$20</f>
        <v>0</v>
      </c>
      <c r="F20" s="49">
        <f t="shared" ref="F20:AB20" si="7">F19*$D$20</f>
        <v>0</v>
      </c>
      <c r="G20" s="50">
        <f t="shared" si="7"/>
        <v>0</v>
      </c>
      <c r="H20" s="49">
        <f t="shared" si="7"/>
        <v>0</v>
      </c>
      <c r="I20" s="49">
        <f t="shared" si="7"/>
        <v>0</v>
      </c>
      <c r="J20" s="50">
        <f t="shared" si="7"/>
        <v>0</v>
      </c>
      <c r="K20" s="49">
        <f t="shared" si="7"/>
        <v>0</v>
      </c>
      <c r="L20" s="49">
        <f t="shared" si="7"/>
        <v>0</v>
      </c>
      <c r="M20" s="50">
        <f t="shared" si="7"/>
        <v>0</v>
      </c>
      <c r="N20" s="49">
        <f t="shared" si="7"/>
        <v>0</v>
      </c>
      <c r="O20" s="49">
        <f t="shared" si="7"/>
        <v>0</v>
      </c>
      <c r="P20" s="50">
        <f t="shared" si="7"/>
        <v>0</v>
      </c>
      <c r="Q20" s="49">
        <f t="shared" si="7"/>
        <v>0</v>
      </c>
      <c r="R20" s="49">
        <f t="shared" si="7"/>
        <v>0</v>
      </c>
      <c r="S20" s="50">
        <f t="shared" si="7"/>
        <v>0</v>
      </c>
      <c r="T20" s="49">
        <f t="shared" si="7"/>
        <v>0</v>
      </c>
      <c r="U20" s="49">
        <f t="shared" si="7"/>
        <v>0</v>
      </c>
      <c r="V20" s="50">
        <f t="shared" si="7"/>
        <v>0</v>
      </c>
      <c r="W20" s="49">
        <f t="shared" si="7"/>
        <v>0</v>
      </c>
      <c r="X20" s="49">
        <f t="shared" si="7"/>
        <v>0</v>
      </c>
      <c r="Y20" s="50">
        <f t="shared" si="7"/>
        <v>0</v>
      </c>
      <c r="Z20" s="49">
        <f t="shared" si="7"/>
        <v>0</v>
      </c>
      <c r="AA20" s="49">
        <f t="shared" si="7"/>
        <v>0</v>
      </c>
      <c r="AB20" s="50">
        <f t="shared" si="7"/>
        <v>0</v>
      </c>
      <c r="AC20" s="43">
        <f t="shared" si="1"/>
        <v>0</v>
      </c>
      <c r="AD20" s="164"/>
    </row>
    <row r="21" spans="1:30" ht="12.75">
      <c r="A21" s="1"/>
      <c r="B21" s="64" t="s">
        <v>10</v>
      </c>
      <c r="C21" s="33">
        <v>0</v>
      </c>
      <c r="D21" s="29">
        <f>C21-D22</f>
        <v>0</v>
      </c>
      <c r="E21" s="36">
        <v>0</v>
      </c>
      <c r="F21" s="36">
        <v>0</v>
      </c>
      <c r="G21" s="52">
        <v>0</v>
      </c>
      <c r="H21" s="36">
        <v>0</v>
      </c>
      <c r="I21" s="36">
        <v>0</v>
      </c>
      <c r="J21" s="52">
        <v>0</v>
      </c>
      <c r="K21" s="36">
        <v>0</v>
      </c>
      <c r="L21" s="36">
        <v>0</v>
      </c>
      <c r="M21" s="52">
        <v>0</v>
      </c>
      <c r="N21" s="36">
        <v>0</v>
      </c>
      <c r="O21" s="36">
        <v>0</v>
      </c>
      <c r="P21" s="52">
        <v>0</v>
      </c>
      <c r="Q21" s="36">
        <v>0</v>
      </c>
      <c r="R21" s="36">
        <v>0</v>
      </c>
      <c r="S21" s="52">
        <v>0</v>
      </c>
      <c r="T21" s="36">
        <v>0</v>
      </c>
      <c r="U21" s="36">
        <v>0</v>
      </c>
      <c r="V21" s="52">
        <v>0</v>
      </c>
      <c r="W21" s="36">
        <v>0</v>
      </c>
      <c r="X21" s="36">
        <v>0</v>
      </c>
      <c r="Y21" s="52">
        <v>0</v>
      </c>
      <c r="Z21" s="36">
        <v>0</v>
      </c>
      <c r="AA21" s="36">
        <v>0</v>
      </c>
      <c r="AB21" s="52">
        <v>0</v>
      </c>
      <c r="AC21" s="42">
        <f>SUM(E21:AB21)*D21</f>
        <v>0</v>
      </c>
      <c r="AD21" s="163">
        <v>0</v>
      </c>
    </row>
    <row r="22" spans="1:30" s="22" customFormat="1" ht="12.75">
      <c r="A22" s="24"/>
      <c r="B22" s="63" t="s">
        <v>34</v>
      </c>
      <c r="C22" s="31">
        <v>0</v>
      </c>
      <c r="D22" s="27">
        <f>C22*C21</f>
        <v>0</v>
      </c>
      <c r="E22" s="49">
        <f>E21*$D$22</f>
        <v>0</v>
      </c>
      <c r="F22" s="49">
        <f t="shared" ref="F22:AB22" si="8">F21*$D$22</f>
        <v>0</v>
      </c>
      <c r="G22" s="50">
        <f t="shared" si="8"/>
        <v>0</v>
      </c>
      <c r="H22" s="49">
        <f t="shared" si="8"/>
        <v>0</v>
      </c>
      <c r="I22" s="49">
        <f t="shared" si="8"/>
        <v>0</v>
      </c>
      <c r="J22" s="50">
        <f t="shared" si="8"/>
        <v>0</v>
      </c>
      <c r="K22" s="49">
        <f t="shared" si="8"/>
        <v>0</v>
      </c>
      <c r="L22" s="49">
        <f t="shared" si="8"/>
        <v>0</v>
      </c>
      <c r="M22" s="50">
        <f t="shared" si="8"/>
        <v>0</v>
      </c>
      <c r="N22" s="49">
        <f t="shared" si="8"/>
        <v>0</v>
      </c>
      <c r="O22" s="49">
        <f t="shared" si="8"/>
        <v>0</v>
      </c>
      <c r="P22" s="50">
        <f t="shared" si="8"/>
        <v>0</v>
      </c>
      <c r="Q22" s="49">
        <f t="shared" si="8"/>
        <v>0</v>
      </c>
      <c r="R22" s="49">
        <f t="shared" si="8"/>
        <v>0</v>
      </c>
      <c r="S22" s="50">
        <f t="shared" si="8"/>
        <v>0</v>
      </c>
      <c r="T22" s="49">
        <f t="shared" si="8"/>
        <v>0</v>
      </c>
      <c r="U22" s="49">
        <f t="shared" si="8"/>
        <v>0</v>
      </c>
      <c r="V22" s="50">
        <f t="shared" si="8"/>
        <v>0</v>
      </c>
      <c r="W22" s="49">
        <f t="shared" si="8"/>
        <v>0</v>
      </c>
      <c r="X22" s="49">
        <f t="shared" si="8"/>
        <v>0</v>
      </c>
      <c r="Y22" s="50">
        <f t="shared" si="8"/>
        <v>0</v>
      </c>
      <c r="Z22" s="49">
        <f t="shared" si="8"/>
        <v>0</v>
      </c>
      <c r="AA22" s="49">
        <f t="shared" si="8"/>
        <v>0</v>
      </c>
      <c r="AB22" s="50">
        <f t="shared" si="8"/>
        <v>0</v>
      </c>
      <c r="AC22" s="43">
        <f t="shared" si="1"/>
        <v>0</v>
      </c>
      <c r="AD22" s="164"/>
    </row>
    <row r="23" spans="1:30" s="44" customFormat="1" ht="12.75">
      <c r="A23" s="45"/>
      <c r="B23" s="66" t="s">
        <v>36</v>
      </c>
      <c r="C23" s="53"/>
      <c r="D23" s="53"/>
      <c r="E23" s="54">
        <f>E7*$D$7+E9*$D$9+E11*$D$11+E13*$D$13+E15*$D$15+E17*$D$17+E19*$D$19+E21*$D$21</f>
        <v>0</v>
      </c>
      <c r="F23" s="54">
        <f t="shared" ref="F23:AB23" si="9">F7*$D$7+F9*$D$9+F11*$D$11+F13*$D$13+F15*$D$15+F17*$D$17+F19*$D$19+F21*$D$21</f>
        <v>0</v>
      </c>
      <c r="G23" s="54">
        <f t="shared" si="9"/>
        <v>0</v>
      </c>
      <c r="H23" s="54">
        <f t="shared" si="9"/>
        <v>0</v>
      </c>
      <c r="I23" s="54">
        <f t="shared" si="9"/>
        <v>0</v>
      </c>
      <c r="J23" s="54">
        <f t="shared" si="9"/>
        <v>0</v>
      </c>
      <c r="K23" s="54">
        <f t="shared" si="9"/>
        <v>0</v>
      </c>
      <c r="L23" s="54">
        <f t="shared" si="9"/>
        <v>0</v>
      </c>
      <c r="M23" s="54">
        <f t="shared" si="9"/>
        <v>0</v>
      </c>
      <c r="N23" s="54">
        <f t="shared" si="9"/>
        <v>0</v>
      </c>
      <c r="O23" s="54">
        <f t="shared" si="9"/>
        <v>0</v>
      </c>
      <c r="P23" s="54">
        <f t="shared" si="9"/>
        <v>0</v>
      </c>
      <c r="Q23" s="54">
        <f t="shared" si="9"/>
        <v>0</v>
      </c>
      <c r="R23" s="54">
        <f t="shared" si="9"/>
        <v>0</v>
      </c>
      <c r="S23" s="54">
        <f t="shared" si="9"/>
        <v>0</v>
      </c>
      <c r="T23" s="54">
        <f t="shared" si="9"/>
        <v>0</v>
      </c>
      <c r="U23" s="54">
        <f t="shared" si="9"/>
        <v>0</v>
      </c>
      <c r="V23" s="54">
        <f t="shared" si="9"/>
        <v>0</v>
      </c>
      <c r="W23" s="54">
        <f t="shared" si="9"/>
        <v>0</v>
      </c>
      <c r="X23" s="54">
        <f t="shared" si="9"/>
        <v>0</v>
      </c>
      <c r="Y23" s="54">
        <f t="shared" si="9"/>
        <v>0</v>
      </c>
      <c r="Z23" s="54">
        <f t="shared" si="9"/>
        <v>0</v>
      </c>
      <c r="AA23" s="54">
        <f t="shared" si="9"/>
        <v>0</v>
      </c>
      <c r="AB23" s="54">
        <f t="shared" si="9"/>
        <v>0</v>
      </c>
      <c r="AC23" s="54">
        <f t="shared" ref="AC23" si="10">SUM(E23:AB23)</f>
        <v>0</v>
      </c>
      <c r="AD23" s="206" t="s">
        <v>45</v>
      </c>
    </row>
    <row r="24" spans="1:30" s="22" customFormat="1" ht="12.75">
      <c r="A24" s="24"/>
      <c r="B24" s="67" t="s">
        <v>35</v>
      </c>
      <c r="C24" s="55"/>
      <c r="D24" s="55"/>
      <c r="E24" s="56">
        <f>E8+E10+E12+E14+E16+E18+E20+E22</f>
        <v>0</v>
      </c>
      <c r="F24" s="56">
        <f t="shared" ref="F24:AB24" si="11">F8+F10+F12+F14+F16+F18+F20+F22</f>
        <v>0</v>
      </c>
      <c r="G24" s="57">
        <f t="shared" si="11"/>
        <v>0</v>
      </c>
      <c r="H24" s="56">
        <f t="shared" si="11"/>
        <v>0</v>
      </c>
      <c r="I24" s="56">
        <f t="shared" si="11"/>
        <v>0</v>
      </c>
      <c r="J24" s="57">
        <f t="shared" si="11"/>
        <v>0</v>
      </c>
      <c r="K24" s="56">
        <f t="shared" si="11"/>
        <v>0</v>
      </c>
      <c r="L24" s="56">
        <f t="shared" si="11"/>
        <v>0</v>
      </c>
      <c r="M24" s="57">
        <f t="shared" si="11"/>
        <v>0</v>
      </c>
      <c r="N24" s="56">
        <f t="shared" si="11"/>
        <v>0</v>
      </c>
      <c r="O24" s="56">
        <f t="shared" si="11"/>
        <v>0</v>
      </c>
      <c r="P24" s="57">
        <f t="shared" si="11"/>
        <v>0</v>
      </c>
      <c r="Q24" s="56">
        <f t="shared" si="11"/>
        <v>0</v>
      </c>
      <c r="R24" s="56">
        <f t="shared" si="11"/>
        <v>0</v>
      </c>
      <c r="S24" s="57">
        <f t="shared" si="11"/>
        <v>0</v>
      </c>
      <c r="T24" s="56">
        <f t="shared" si="11"/>
        <v>0</v>
      </c>
      <c r="U24" s="56">
        <f t="shared" si="11"/>
        <v>0</v>
      </c>
      <c r="V24" s="57">
        <f t="shared" si="11"/>
        <v>0</v>
      </c>
      <c r="W24" s="56">
        <f t="shared" si="11"/>
        <v>0</v>
      </c>
      <c r="X24" s="56">
        <f t="shared" si="11"/>
        <v>0</v>
      </c>
      <c r="Y24" s="57">
        <f t="shared" si="11"/>
        <v>0</v>
      </c>
      <c r="Z24" s="56">
        <f t="shared" si="11"/>
        <v>0</v>
      </c>
      <c r="AA24" s="56">
        <f t="shared" si="11"/>
        <v>0</v>
      </c>
      <c r="AB24" s="57">
        <f t="shared" si="11"/>
        <v>0</v>
      </c>
      <c r="AC24" s="56">
        <f t="shared" si="1"/>
        <v>0</v>
      </c>
      <c r="AD24" s="207"/>
    </row>
    <row r="25" spans="1:30" s="22" customFormat="1" ht="12.75">
      <c r="A25" s="24"/>
      <c r="B25" s="85" t="s">
        <v>38</v>
      </c>
      <c r="C25" s="77"/>
      <c r="D25" s="77"/>
      <c r="E25" s="78">
        <f>E23+E24</f>
        <v>0</v>
      </c>
      <c r="F25" s="78">
        <f t="shared" ref="F25:AB25" si="12">F23+F24</f>
        <v>0</v>
      </c>
      <c r="G25" s="79">
        <f t="shared" si="12"/>
        <v>0</v>
      </c>
      <c r="H25" s="78">
        <f t="shared" si="12"/>
        <v>0</v>
      </c>
      <c r="I25" s="78">
        <f t="shared" si="12"/>
        <v>0</v>
      </c>
      <c r="J25" s="79">
        <f t="shared" si="12"/>
        <v>0</v>
      </c>
      <c r="K25" s="78">
        <f t="shared" si="12"/>
        <v>0</v>
      </c>
      <c r="L25" s="78">
        <f t="shared" si="12"/>
        <v>0</v>
      </c>
      <c r="M25" s="79">
        <f t="shared" si="12"/>
        <v>0</v>
      </c>
      <c r="N25" s="78">
        <f t="shared" si="12"/>
        <v>0</v>
      </c>
      <c r="O25" s="78">
        <f t="shared" si="12"/>
        <v>0</v>
      </c>
      <c r="P25" s="79">
        <f t="shared" si="12"/>
        <v>0</v>
      </c>
      <c r="Q25" s="78">
        <f t="shared" si="12"/>
        <v>0</v>
      </c>
      <c r="R25" s="78">
        <f t="shared" si="12"/>
        <v>0</v>
      </c>
      <c r="S25" s="79">
        <f t="shared" si="12"/>
        <v>0</v>
      </c>
      <c r="T25" s="78">
        <f t="shared" si="12"/>
        <v>0</v>
      </c>
      <c r="U25" s="78">
        <f t="shared" si="12"/>
        <v>0</v>
      </c>
      <c r="V25" s="79">
        <f t="shared" si="12"/>
        <v>0</v>
      </c>
      <c r="W25" s="78">
        <f t="shared" si="12"/>
        <v>0</v>
      </c>
      <c r="X25" s="78">
        <f t="shared" si="12"/>
        <v>0</v>
      </c>
      <c r="Y25" s="79">
        <f t="shared" si="12"/>
        <v>0</v>
      </c>
      <c r="Z25" s="78">
        <f t="shared" si="12"/>
        <v>0</v>
      </c>
      <c r="AA25" s="78">
        <f t="shared" si="12"/>
        <v>0</v>
      </c>
      <c r="AB25" s="79">
        <f t="shared" si="12"/>
        <v>0</v>
      </c>
      <c r="AC25" s="149">
        <f>AC23+AC24</f>
        <v>0</v>
      </c>
      <c r="AD25" s="150">
        <f>AD7+AD9+AD11+AD13+AD15+AD17+AD19+AD21</f>
        <v>0</v>
      </c>
    </row>
    <row r="26" spans="1:30" s="22" customFormat="1" ht="12.75">
      <c r="A26" s="24"/>
      <c r="B26" s="86"/>
      <c r="C26" s="87"/>
      <c r="D26" s="8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100"/>
      <c r="AD26" s="101"/>
    </row>
    <row r="27" spans="1:30" ht="12.75">
      <c r="A27" s="1"/>
      <c r="B27" s="88" t="s">
        <v>12</v>
      </c>
      <c r="C27" s="75" t="s">
        <v>49</v>
      </c>
      <c r="D27" s="76" t="s">
        <v>37</v>
      </c>
      <c r="E27" s="179" t="s">
        <v>50</v>
      </c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69"/>
      <c r="AD27" s="98"/>
    </row>
    <row r="28" spans="1:30" ht="12.75">
      <c r="A28" s="1"/>
      <c r="B28" s="62" t="s">
        <v>5</v>
      </c>
      <c r="C28" s="30">
        <v>0</v>
      </c>
      <c r="D28" s="26">
        <f>C28-D29</f>
        <v>0</v>
      </c>
      <c r="E28" s="34">
        <v>0</v>
      </c>
      <c r="F28" s="34">
        <v>0</v>
      </c>
      <c r="G28" s="58">
        <v>0</v>
      </c>
      <c r="H28" s="34">
        <v>10</v>
      </c>
      <c r="I28" s="34">
        <v>10</v>
      </c>
      <c r="J28" s="58">
        <v>10</v>
      </c>
      <c r="K28" s="34">
        <v>0</v>
      </c>
      <c r="L28" s="34">
        <v>0</v>
      </c>
      <c r="M28" s="58">
        <v>0</v>
      </c>
      <c r="N28" s="34">
        <v>0</v>
      </c>
      <c r="O28" s="34">
        <v>0</v>
      </c>
      <c r="P28" s="58">
        <v>0</v>
      </c>
      <c r="Q28" s="34">
        <v>0</v>
      </c>
      <c r="R28" s="34">
        <v>0</v>
      </c>
      <c r="S28" s="58">
        <v>0</v>
      </c>
      <c r="T28" s="34">
        <v>0</v>
      </c>
      <c r="U28" s="34">
        <v>0</v>
      </c>
      <c r="V28" s="58">
        <v>0</v>
      </c>
      <c r="W28" s="34">
        <v>0</v>
      </c>
      <c r="X28" s="34">
        <v>0</v>
      </c>
      <c r="Y28" s="58">
        <v>0</v>
      </c>
      <c r="Z28" s="34">
        <v>0</v>
      </c>
      <c r="AA28" s="34">
        <v>0</v>
      </c>
      <c r="AB28" s="58">
        <v>0</v>
      </c>
      <c r="AC28" s="42">
        <f>SUM(E28:AB28)*D28</f>
        <v>0</v>
      </c>
      <c r="AD28" s="163">
        <v>0</v>
      </c>
    </row>
    <row r="29" spans="1:30" s="44" customFormat="1" ht="12.75">
      <c r="A29" s="45"/>
      <c r="B29" s="63" t="s">
        <v>34</v>
      </c>
      <c r="C29" s="31">
        <v>0</v>
      </c>
      <c r="D29" s="27">
        <f>C29*C28</f>
        <v>0</v>
      </c>
      <c r="E29" s="49">
        <f>E28*$D$29</f>
        <v>0</v>
      </c>
      <c r="F29" s="49">
        <f t="shared" ref="F29:AB29" si="13">F28*$D$29</f>
        <v>0</v>
      </c>
      <c r="G29" s="59">
        <f t="shared" si="13"/>
        <v>0</v>
      </c>
      <c r="H29" s="49">
        <f t="shared" si="13"/>
        <v>0</v>
      </c>
      <c r="I29" s="49">
        <f t="shared" si="13"/>
        <v>0</v>
      </c>
      <c r="J29" s="59">
        <f t="shared" si="13"/>
        <v>0</v>
      </c>
      <c r="K29" s="49">
        <f t="shared" si="13"/>
        <v>0</v>
      </c>
      <c r="L29" s="49">
        <f t="shared" si="13"/>
        <v>0</v>
      </c>
      <c r="M29" s="59">
        <f t="shared" si="13"/>
        <v>0</v>
      </c>
      <c r="N29" s="49">
        <f t="shared" si="13"/>
        <v>0</v>
      </c>
      <c r="O29" s="49">
        <f t="shared" si="13"/>
        <v>0</v>
      </c>
      <c r="P29" s="59">
        <f t="shared" si="13"/>
        <v>0</v>
      </c>
      <c r="Q29" s="49">
        <f t="shared" si="13"/>
        <v>0</v>
      </c>
      <c r="R29" s="49">
        <f t="shared" si="13"/>
        <v>0</v>
      </c>
      <c r="S29" s="59">
        <f t="shared" si="13"/>
        <v>0</v>
      </c>
      <c r="T29" s="49">
        <f t="shared" si="13"/>
        <v>0</v>
      </c>
      <c r="U29" s="49">
        <f t="shared" si="13"/>
        <v>0</v>
      </c>
      <c r="V29" s="59">
        <f t="shared" si="13"/>
        <v>0</v>
      </c>
      <c r="W29" s="49">
        <f t="shared" si="13"/>
        <v>0</v>
      </c>
      <c r="X29" s="49">
        <f t="shared" si="13"/>
        <v>0</v>
      </c>
      <c r="Y29" s="59">
        <f t="shared" si="13"/>
        <v>0</v>
      </c>
      <c r="Z29" s="49">
        <f t="shared" si="13"/>
        <v>0</v>
      </c>
      <c r="AA29" s="49">
        <f t="shared" si="13"/>
        <v>0</v>
      </c>
      <c r="AB29" s="59">
        <f t="shared" si="13"/>
        <v>0</v>
      </c>
      <c r="AC29" s="43">
        <f t="shared" ref="AC29" si="14">SUM(E29:AB29)</f>
        <v>0</v>
      </c>
      <c r="AD29" s="164"/>
    </row>
    <row r="30" spans="1:30" ht="12.75">
      <c r="A30" s="1"/>
      <c r="B30" s="64" t="s">
        <v>6</v>
      </c>
      <c r="C30" s="32">
        <v>0</v>
      </c>
      <c r="D30" s="28">
        <f>C30-D31</f>
        <v>0</v>
      </c>
      <c r="E30" s="35">
        <v>0</v>
      </c>
      <c r="F30" s="35">
        <v>0</v>
      </c>
      <c r="G30" s="60">
        <v>0</v>
      </c>
      <c r="H30" s="35">
        <v>0</v>
      </c>
      <c r="I30" s="35">
        <v>0</v>
      </c>
      <c r="J30" s="60">
        <v>0</v>
      </c>
      <c r="K30" s="35">
        <v>0</v>
      </c>
      <c r="L30" s="35">
        <v>0</v>
      </c>
      <c r="M30" s="60">
        <v>0</v>
      </c>
      <c r="N30" s="35">
        <v>0</v>
      </c>
      <c r="O30" s="35">
        <v>0</v>
      </c>
      <c r="P30" s="60">
        <v>0</v>
      </c>
      <c r="Q30" s="35">
        <v>0</v>
      </c>
      <c r="R30" s="35">
        <v>0</v>
      </c>
      <c r="S30" s="60">
        <v>0</v>
      </c>
      <c r="T30" s="35">
        <v>0</v>
      </c>
      <c r="U30" s="35">
        <v>0</v>
      </c>
      <c r="V30" s="60">
        <v>0</v>
      </c>
      <c r="W30" s="35">
        <v>0</v>
      </c>
      <c r="X30" s="35">
        <v>0</v>
      </c>
      <c r="Y30" s="60">
        <v>0</v>
      </c>
      <c r="Z30" s="35">
        <v>0</v>
      </c>
      <c r="AA30" s="35">
        <v>0</v>
      </c>
      <c r="AB30" s="60">
        <v>0</v>
      </c>
      <c r="AC30" s="42">
        <f>SUM(E30:AB30)*D30</f>
        <v>0</v>
      </c>
      <c r="AD30" s="163">
        <v>0</v>
      </c>
    </row>
    <row r="31" spans="1:30" s="44" customFormat="1" ht="12.75">
      <c r="A31" s="45"/>
      <c r="B31" s="63" t="s">
        <v>34</v>
      </c>
      <c r="C31" s="31">
        <v>0</v>
      </c>
      <c r="D31" s="27">
        <f>C31*C30</f>
        <v>0</v>
      </c>
      <c r="E31" s="49">
        <f>E30*$D$31</f>
        <v>0</v>
      </c>
      <c r="F31" s="49">
        <f t="shared" ref="F31:AB31" si="15">F30*$D$31</f>
        <v>0</v>
      </c>
      <c r="G31" s="59">
        <f t="shared" si="15"/>
        <v>0</v>
      </c>
      <c r="H31" s="49">
        <f t="shared" si="15"/>
        <v>0</v>
      </c>
      <c r="I31" s="49">
        <f t="shared" si="15"/>
        <v>0</v>
      </c>
      <c r="J31" s="59">
        <f t="shared" si="15"/>
        <v>0</v>
      </c>
      <c r="K31" s="49">
        <f t="shared" si="15"/>
        <v>0</v>
      </c>
      <c r="L31" s="49">
        <f t="shared" si="15"/>
        <v>0</v>
      </c>
      <c r="M31" s="59">
        <f t="shared" si="15"/>
        <v>0</v>
      </c>
      <c r="N31" s="49">
        <f t="shared" si="15"/>
        <v>0</v>
      </c>
      <c r="O31" s="49">
        <f t="shared" si="15"/>
        <v>0</v>
      </c>
      <c r="P31" s="59">
        <f t="shared" si="15"/>
        <v>0</v>
      </c>
      <c r="Q31" s="49">
        <f t="shared" si="15"/>
        <v>0</v>
      </c>
      <c r="R31" s="49">
        <f t="shared" si="15"/>
        <v>0</v>
      </c>
      <c r="S31" s="59">
        <f t="shared" si="15"/>
        <v>0</v>
      </c>
      <c r="T31" s="49">
        <f t="shared" si="15"/>
        <v>0</v>
      </c>
      <c r="U31" s="49">
        <f t="shared" si="15"/>
        <v>0</v>
      </c>
      <c r="V31" s="59">
        <f t="shared" si="15"/>
        <v>0</v>
      </c>
      <c r="W31" s="49">
        <f t="shared" si="15"/>
        <v>0</v>
      </c>
      <c r="X31" s="49">
        <f t="shared" si="15"/>
        <v>0</v>
      </c>
      <c r="Y31" s="59">
        <f t="shared" si="15"/>
        <v>0</v>
      </c>
      <c r="Z31" s="49">
        <f t="shared" si="15"/>
        <v>0</v>
      </c>
      <c r="AA31" s="49">
        <f t="shared" si="15"/>
        <v>0</v>
      </c>
      <c r="AB31" s="59">
        <f t="shared" si="15"/>
        <v>0</v>
      </c>
      <c r="AC31" s="43">
        <f t="shared" ref="AC31" si="16">SUM(E31:AB31)</f>
        <v>0</v>
      </c>
      <c r="AD31" s="164"/>
    </row>
    <row r="32" spans="1:30" ht="12.75">
      <c r="A32" s="1"/>
      <c r="B32" s="65" t="s">
        <v>14</v>
      </c>
      <c r="C32" s="32">
        <v>0</v>
      </c>
      <c r="D32" s="28">
        <f>C32-D33</f>
        <v>0</v>
      </c>
      <c r="E32" s="35">
        <v>0</v>
      </c>
      <c r="F32" s="35">
        <v>0</v>
      </c>
      <c r="G32" s="60">
        <v>0</v>
      </c>
      <c r="H32" s="35">
        <v>0</v>
      </c>
      <c r="I32" s="35">
        <v>0</v>
      </c>
      <c r="J32" s="60">
        <v>0</v>
      </c>
      <c r="K32" s="35">
        <v>0</v>
      </c>
      <c r="L32" s="35">
        <v>0</v>
      </c>
      <c r="M32" s="60">
        <v>0</v>
      </c>
      <c r="N32" s="35">
        <v>0</v>
      </c>
      <c r="O32" s="35">
        <v>0</v>
      </c>
      <c r="P32" s="60">
        <v>0</v>
      </c>
      <c r="Q32" s="35">
        <v>0</v>
      </c>
      <c r="R32" s="35">
        <v>0</v>
      </c>
      <c r="S32" s="60">
        <v>0</v>
      </c>
      <c r="T32" s="35">
        <v>0</v>
      </c>
      <c r="U32" s="35">
        <v>0</v>
      </c>
      <c r="V32" s="60">
        <v>0</v>
      </c>
      <c r="W32" s="35">
        <v>0</v>
      </c>
      <c r="X32" s="35">
        <v>0</v>
      </c>
      <c r="Y32" s="60">
        <v>0</v>
      </c>
      <c r="Z32" s="35">
        <v>0</v>
      </c>
      <c r="AA32" s="35">
        <v>0</v>
      </c>
      <c r="AB32" s="60">
        <v>0</v>
      </c>
      <c r="AC32" s="42">
        <f>SUM(E32:AB32)*D32</f>
        <v>0</v>
      </c>
      <c r="AD32" s="163">
        <v>0</v>
      </c>
    </row>
    <row r="33" spans="1:30" s="44" customFormat="1" ht="12.75">
      <c r="A33" s="45"/>
      <c r="B33" s="63" t="s">
        <v>34</v>
      </c>
      <c r="C33" s="31">
        <v>0</v>
      </c>
      <c r="D33" s="27">
        <f>C33*C32</f>
        <v>0</v>
      </c>
      <c r="E33" s="49">
        <f>E32*$D$33</f>
        <v>0</v>
      </c>
      <c r="F33" s="49">
        <f t="shared" ref="F33:AB33" si="17">F32*$D$33</f>
        <v>0</v>
      </c>
      <c r="G33" s="59">
        <f t="shared" si="17"/>
        <v>0</v>
      </c>
      <c r="H33" s="49">
        <f t="shared" si="17"/>
        <v>0</v>
      </c>
      <c r="I33" s="49">
        <f t="shared" si="17"/>
        <v>0</v>
      </c>
      <c r="J33" s="59">
        <f t="shared" si="17"/>
        <v>0</v>
      </c>
      <c r="K33" s="49">
        <f t="shared" si="17"/>
        <v>0</v>
      </c>
      <c r="L33" s="49">
        <f t="shared" si="17"/>
        <v>0</v>
      </c>
      <c r="M33" s="59">
        <f t="shared" si="17"/>
        <v>0</v>
      </c>
      <c r="N33" s="49">
        <f t="shared" si="17"/>
        <v>0</v>
      </c>
      <c r="O33" s="49">
        <f t="shared" si="17"/>
        <v>0</v>
      </c>
      <c r="P33" s="59">
        <f t="shared" si="17"/>
        <v>0</v>
      </c>
      <c r="Q33" s="49">
        <f t="shared" si="17"/>
        <v>0</v>
      </c>
      <c r="R33" s="49">
        <f t="shared" si="17"/>
        <v>0</v>
      </c>
      <c r="S33" s="59">
        <f t="shared" si="17"/>
        <v>0</v>
      </c>
      <c r="T33" s="49">
        <f t="shared" si="17"/>
        <v>0</v>
      </c>
      <c r="U33" s="49">
        <f t="shared" si="17"/>
        <v>0</v>
      </c>
      <c r="V33" s="59">
        <f t="shared" si="17"/>
        <v>0</v>
      </c>
      <c r="W33" s="49">
        <f t="shared" si="17"/>
        <v>0</v>
      </c>
      <c r="X33" s="49">
        <f t="shared" si="17"/>
        <v>0</v>
      </c>
      <c r="Y33" s="59">
        <f t="shared" si="17"/>
        <v>0</v>
      </c>
      <c r="Z33" s="49">
        <f t="shared" si="17"/>
        <v>0</v>
      </c>
      <c r="AA33" s="49">
        <f t="shared" si="17"/>
        <v>0</v>
      </c>
      <c r="AB33" s="59">
        <f t="shared" si="17"/>
        <v>0</v>
      </c>
      <c r="AC33" s="43">
        <f t="shared" ref="AC33" si="18">SUM(E33:AB33)</f>
        <v>0</v>
      </c>
      <c r="AD33" s="164"/>
    </row>
    <row r="34" spans="1:30" ht="12.75">
      <c r="A34" s="1"/>
      <c r="B34" s="64" t="s">
        <v>9</v>
      </c>
      <c r="C34" s="32">
        <v>0</v>
      </c>
      <c r="D34" s="28">
        <f>C34-D35</f>
        <v>0</v>
      </c>
      <c r="E34" s="35">
        <v>0</v>
      </c>
      <c r="F34" s="35">
        <v>0</v>
      </c>
      <c r="G34" s="60">
        <v>0</v>
      </c>
      <c r="H34" s="35">
        <v>0</v>
      </c>
      <c r="I34" s="35">
        <v>0</v>
      </c>
      <c r="J34" s="60">
        <v>0</v>
      </c>
      <c r="K34" s="35">
        <v>0</v>
      </c>
      <c r="L34" s="35">
        <v>0</v>
      </c>
      <c r="M34" s="60">
        <v>0</v>
      </c>
      <c r="N34" s="35">
        <v>0</v>
      </c>
      <c r="O34" s="35">
        <v>0</v>
      </c>
      <c r="P34" s="60">
        <v>0</v>
      </c>
      <c r="Q34" s="35">
        <v>0</v>
      </c>
      <c r="R34" s="35">
        <v>0</v>
      </c>
      <c r="S34" s="60">
        <v>0</v>
      </c>
      <c r="T34" s="35">
        <v>0</v>
      </c>
      <c r="U34" s="35">
        <v>0</v>
      </c>
      <c r="V34" s="60">
        <v>0</v>
      </c>
      <c r="W34" s="35">
        <v>0</v>
      </c>
      <c r="X34" s="35">
        <v>0</v>
      </c>
      <c r="Y34" s="60">
        <v>0</v>
      </c>
      <c r="Z34" s="35">
        <v>0</v>
      </c>
      <c r="AA34" s="35">
        <v>0</v>
      </c>
      <c r="AB34" s="60">
        <v>0</v>
      </c>
      <c r="AC34" s="42">
        <f>SUM(E34:AB34)*D34</f>
        <v>0</v>
      </c>
      <c r="AD34" s="208">
        <v>0</v>
      </c>
    </row>
    <row r="35" spans="1:30" s="44" customFormat="1" ht="12.75">
      <c r="A35" s="45"/>
      <c r="B35" s="63" t="s">
        <v>34</v>
      </c>
      <c r="C35" s="31">
        <v>0</v>
      </c>
      <c r="D35" s="27">
        <f>C35*C34</f>
        <v>0</v>
      </c>
      <c r="E35" s="49">
        <f>E34*$D$35</f>
        <v>0</v>
      </c>
      <c r="F35" s="49">
        <f t="shared" ref="F35:AB35" si="19">F34*$D$35</f>
        <v>0</v>
      </c>
      <c r="G35" s="59">
        <f t="shared" si="19"/>
        <v>0</v>
      </c>
      <c r="H35" s="49">
        <f t="shared" si="19"/>
        <v>0</v>
      </c>
      <c r="I35" s="49">
        <f t="shared" si="19"/>
        <v>0</v>
      </c>
      <c r="J35" s="59">
        <f t="shared" si="19"/>
        <v>0</v>
      </c>
      <c r="K35" s="49">
        <f t="shared" si="19"/>
        <v>0</v>
      </c>
      <c r="L35" s="49">
        <f t="shared" si="19"/>
        <v>0</v>
      </c>
      <c r="M35" s="59">
        <f t="shared" si="19"/>
        <v>0</v>
      </c>
      <c r="N35" s="49">
        <f t="shared" si="19"/>
        <v>0</v>
      </c>
      <c r="O35" s="49">
        <f t="shared" si="19"/>
        <v>0</v>
      </c>
      <c r="P35" s="59">
        <f t="shared" si="19"/>
        <v>0</v>
      </c>
      <c r="Q35" s="49">
        <f t="shared" si="19"/>
        <v>0</v>
      </c>
      <c r="R35" s="49">
        <f t="shared" si="19"/>
        <v>0</v>
      </c>
      <c r="S35" s="59">
        <f t="shared" si="19"/>
        <v>0</v>
      </c>
      <c r="T35" s="49">
        <f t="shared" si="19"/>
        <v>0</v>
      </c>
      <c r="U35" s="49">
        <f t="shared" si="19"/>
        <v>0</v>
      </c>
      <c r="V35" s="59">
        <f t="shared" si="19"/>
        <v>0</v>
      </c>
      <c r="W35" s="49">
        <f t="shared" si="19"/>
        <v>0</v>
      </c>
      <c r="X35" s="49">
        <f t="shared" si="19"/>
        <v>0</v>
      </c>
      <c r="Y35" s="59">
        <f t="shared" si="19"/>
        <v>0</v>
      </c>
      <c r="Z35" s="49">
        <f t="shared" si="19"/>
        <v>0</v>
      </c>
      <c r="AA35" s="49">
        <f t="shared" si="19"/>
        <v>0</v>
      </c>
      <c r="AB35" s="59">
        <f t="shared" si="19"/>
        <v>0</v>
      </c>
      <c r="AC35" s="43">
        <f t="shared" ref="AC35" si="20">SUM(E35:AB35)</f>
        <v>0</v>
      </c>
      <c r="AD35" s="164"/>
    </row>
    <row r="36" spans="1:30" ht="12.75">
      <c r="A36" s="1"/>
      <c r="B36" s="62" t="s">
        <v>4</v>
      </c>
      <c r="C36" s="32">
        <v>0</v>
      </c>
      <c r="D36" s="28">
        <f>C36-D37</f>
        <v>0</v>
      </c>
      <c r="E36" s="35">
        <v>0</v>
      </c>
      <c r="F36" s="35">
        <v>0</v>
      </c>
      <c r="G36" s="60">
        <v>0</v>
      </c>
      <c r="H36" s="35">
        <v>0</v>
      </c>
      <c r="I36" s="35">
        <v>0</v>
      </c>
      <c r="J36" s="60">
        <v>0</v>
      </c>
      <c r="K36" s="35">
        <v>0</v>
      </c>
      <c r="L36" s="35">
        <v>0</v>
      </c>
      <c r="M36" s="60">
        <v>0</v>
      </c>
      <c r="N36" s="35">
        <v>0</v>
      </c>
      <c r="O36" s="35">
        <v>0</v>
      </c>
      <c r="P36" s="60">
        <v>0</v>
      </c>
      <c r="Q36" s="35">
        <v>0</v>
      </c>
      <c r="R36" s="35">
        <v>0</v>
      </c>
      <c r="S36" s="60">
        <v>0</v>
      </c>
      <c r="T36" s="35">
        <v>0</v>
      </c>
      <c r="U36" s="35">
        <v>0</v>
      </c>
      <c r="V36" s="60">
        <v>0</v>
      </c>
      <c r="W36" s="35">
        <v>0</v>
      </c>
      <c r="X36" s="35">
        <v>0</v>
      </c>
      <c r="Y36" s="60">
        <v>0</v>
      </c>
      <c r="Z36" s="35">
        <v>0</v>
      </c>
      <c r="AA36" s="35">
        <v>0</v>
      </c>
      <c r="AB36" s="60">
        <v>0</v>
      </c>
      <c r="AC36" s="42">
        <f>SUM(E36:AB36)*D36</f>
        <v>0</v>
      </c>
      <c r="AD36" s="163">
        <v>0</v>
      </c>
    </row>
    <row r="37" spans="1:30" s="44" customFormat="1" ht="12.75">
      <c r="A37" s="45"/>
      <c r="B37" s="63" t="s">
        <v>34</v>
      </c>
      <c r="C37" s="31">
        <v>0</v>
      </c>
      <c r="D37" s="27">
        <f>C37*C36</f>
        <v>0</v>
      </c>
      <c r="E37" s="49">
        <f>E36*$D$37</f>
        <v>0</v>
      </c>
      <c r="F37" s="49">
        <f t="shared" ref="F37:AB37" si="21">F36*$D$37</f>
        <v>0</v>
      </c>
      <c r="G37" s="59">
        <f t="shared" si="21"/>
        <v>0</v>
      </c>
      <c r="H37" s="49">
        <f t="shared" si="21"/>
        <v>0</v>
      </c>
      <c r="I37" s="49">
        <f t="shared" si="21"/>
        <v>0</v>
      </c>
      <c r="J37" s="59">
        <f t="shared" si="21"/>
        <v>0</v>
      </c>
      <c r="K37" s="49">
        <f t="shared" si="21"/>
        <v>0</v>
      </c>
      <c r="L37" s="49">
        <f t="shared" si="21"/>
        <v>0</v>
      </c>
      <c r="M37" s="59">
        <f t="shared" si="21"/>
        <v>0</v>
      </c>
      <c r="N37" s="49">
        <f t="shared" si="21"/>
        <v>0</v>
      </c>
      <c r="O37" s="49">
        <f t="shared" si="21"/>
        <v>0</v>
      </c>
      <c r="P37" s="59">
        <f t="shared" si="21"/>
        <v>0</v>
      </c>
      <c r="Q37" s="49">
        <f t="shared" si="21"/>
        <v>0</v>
      </c>
      <c r="R37" s="49">
        <f t="shared" si="21"/>
        <v>0</v>
      </c>
      <c r="S37" s="59">
        <f t="shared" si="21"/>
        <v>0</v>
      </c>
      <c r="T37" s="49">
        <f t="shared" si="21"/>
        <v>0</v>
      </c>
      <c r="U37" s="49">
        <f t="shared" si="21"/>
        <v>0</v>
      </c>
      <c r="V37" s="59">
        <f t="shared" si="21"/>
        <v>0</v>
      </c>
      <c r="W37" s="49">
        <f t="shared" si="21"/>
        <v>0</v>
      </c>
      <c r="X37" s="49">
        <f t="shared" si="21"/>
        <v>0</v>
      </c>
      <c r="Y37" s="59">
        <f t="shared" si="21"/>
        <v>0</v>
      </c>
      <c r="Z37" s="49">
        <f t="shared" si="21"/>
        <v>0</v>
      </c>
      <c r="AA37" s="49">
        <f t="shared" si="21"/>
        <v>0</v>
      </c>
      <c r="AB37" s="59">
        <f t="shared" si="21"/>
        <v>0</v>
      </c>
      <c r="AC37" s="43">
        <f t="shared" ref="AC37" si="22">SUM(E37:AB37)</f>
        <v>0</v>
      </c>
      <c r="AD37" s="164"/>
    </row>
    <row r="38" spans="1:30" ht="12.75">
      <c r="A38" s="1"/>
      <c r="B38" s="64" t="s">
        <v>51</v>
      </c>
      <c r="C38" s="32">
        <v>0</v>
      </c>
      <c r="D38" s="28">
        <f>C38-D39</f>
        <v>0</v>
      </c>
      <c r="E38" s="35">
        <v>0</v>
      </c>
      <c r="F38" s="35">
        <v>0</v>
      </c>
      <c r="G38" s="60">
        <v>0</v>
      </c>
      <c r="H38" s="35">
        <v>0</v>
      </c>
      <c r="I38" s="35">
        <v>0</v>
      </c>
      <c r="J38" s="60">
        <v>0</v>
      </c>
      <c r="K38" s="35">
        <v>0</v>
      </c>
      <c r="L38" s="35">
        <v>0</v>
      </c>
      <c r="M38" s="60">
        <v>0</v>
      </c>
      <c r="N38" s="35">
        <v>0</v>
      </c>
      <c r="O38" s="35">
        <v>0</v>
      </c>
      <c r="P38" s="60">
        <v>0</v>
      </c>
      <c r="Q38" s="35">
        <v>0</v>
      </c>
      <c r="R38" s="35">
        <v>0</v>
      </c>
      <c r="S38" s="60">
        <v>0</v>
      </c>
      <c r="T38" s="35">
        <v>0</v>
      </c>
      <c r="U38" s="35">
        <v>0</v>
      </c>
      <c r="V38" s="60">
        <v>0</v>
      </c>
      <c r="W38" s="35">
        <v>0</v>
      </c>
      <c r="X38" s="35">
        <v>0</v>
      </c>
      <c r="Y38" s="60">
        <v>0</v>
      </c>
      <c r="Z38" s="35">
        <v>0</v>
      </c>
      <c r="AA38" s="35">
        <v>0</v>
      </c>
      <c r="AB38" s="60">
        <v>0</v>
      </c>
      <c r="AC38" s="42">
        <f>SUM(E38:AB38)*D38</f>
        <v>0</v>
      </c>
      <c r="AD38" s="163">
        <v>0</v>
      </c>
    </row>
    <row r="39" spans="1:30" s="44" customFormat="1" ht="12.75">
      <c r="A39" s="45"/>
      <c r="B39" s="63" t="s">
        <v>34</v>
      </c>
      <c r="C39" s="31">
        <v>0</v>
      </c>
      <c r="D39" s="27">
        <f>C39*C38</f>
        <v>0</v>
      </c>
      <c r="E39" s="49">
        <f>E38*$D$39</f>
        <v>0</v>
      </c>
      <c r="F39" s="49">
        <f t="shared" ref="F39:AB39" si="23">F38*$D$39</f>
        <v>0</v>
      </c>
      <c r="G39" s="59">
        <f t="shared" si="23"/>
        <v>0</v>
      </c>
      <c r="H39" s="49">
        <f t="shared" si="23"/>
        <v>0</v>
      </c>
      <c r="I39" s="49">
        <f t="shared" si="23"/>
        <v>0</v>
      </c>
      <c r="J39" s="59">
        <f t="shared" si="23"/>
        <v>0</v>
      </c>
      <c r="K39" s="49">
        <f t="shared" si="23"/>
        <v>0</v>
      </c>
      <c r="L39" s="49">
        <f t="shared" si="23"/>
        <v>0</v>
      </c>
      <c r="M39" s="59">
        <f t="shared" si="23"/>
        <v>0</v>
      </c>
      <c r="N39" s="49">
        <f t="shared" si="23"/>
        <v>0</v>
      </c>
      <c r="O39" s="49">
        <f t="shared" si="23"/>
        <v>0</v>
      </c>
      <c r="P39" s="59">
        <f t="shared" si="23"/>
        <v>0</v>
      </c>
      <c r="Q39" s="49">
        <f t="shared" si="23"/>
        <v>0</v>
      </c>
      <c r="R39" s="49">
        <f t="shared" si="23"/>
        <v>0</v>
      </c>
      <c r="S39" s="59">
        <f t="shared" si="23"/>
        <v>0</v>
      </c>
      <c r="T39" s="49">
        <f t="shared" si="23"/>
        <v>0</v>
      </c>
      <c r="U39" s="49">
        <f t="shared" si="23"/>
        <v>0</v>
      </c>
      <c r="V39" s="59">
        <f t="shared" si="23"/>
        <v>0</v>
      </c>
      <c r="W39" s="49">
        <f t="shared" si="23"/>
        <v>0</v>
      </c>
      <c r="X39" s="49">
        <f t="shared" si="23"/>
        <v>0</v>
      </c>
      <c r="Y39" s="59">
        <f t="shared" si="23"/>
        <v>0</v>
      </c>
      <c r="Z39" s="49">
        <f t="shared" si="23"/>
        <v>0</v>
      </c>
      <c r="AA39" s="49">
        <f t="shared" si="23"/>
        <v>0</v>
      </c>
      <c r="AB39" s="59">
        <f t="shared" si="23"/>
        <v>0</v>
      </c>
      <c r="AC39" s="43">
        <f t="shared" ref="AC39" si="24">SUM(E39:AB39)</f>
        <v>0</v>
      </c>
      <c r="AD39" s="164"/>
    </row>
    <row r="40" spans="1:30" ht="12.75">
      <c r="A40" s="1"/>
      <c r="B40" s="64" t="s">
        <v>51</v>
      </c>
      <c r="C40" s="32">
        <v>0</v>
      </c>
      <c r="D40" s="28">
        <f>C40-D41</f>
        <v>0</v>
      </c>
      <c r="E40" s="35">
        <v>0</v>
      </c>
      <c r="F40" s="35">
        <v>0</v>
      </c>
      <c r="G40" s="60">
        <v>0</v>
      </c>
      <c r="H40" s="35">
        <v>0</v>
      </c>
      <c r="I40" s="35">
        <v>0</v>
      </c>
      <c r="J40" s="60">
        <v>0</v>
      </c>
      <c r="K40" s="35">
        <v>0</v>
      </c>
      <c r="L40" s="35">
        <v>0</v>
      </c>
      <c r="M40" s="60">
        <v>0</v>
      </c>
      <c r="N40" s="35">
        <v>0</v>
      </c>
      <c r="O40" s="35">
        <v>0</v>
      </c>
      <c r="P40" s="60">
        <v>0</v>
      </c>
      <c r="Q40" s="35">
        <v>0</v>
      </c>
      <c r="R40" s="35">
        <v>0</v>
      </c>
      <c r="S40" s="60">
        <v>0</v>
      </c>
      <c r="T40" s="35">
        <v>0</v>
      </c>
      <c r="U40" s="35">
        <v>0</v>
      </c>
      <c r="V40" s="60">
        <v>0</v>
      </c>
      <c r="W40" s="35">
        <v>0</v>
      </c>
      <c r="X40" s="35">
        <v>0</v>
      </c>
      <c r="Y40" s="60">
        <v>0</v>
      </c>
      <c r="Z40" s="35">
        <v>0</v>
      </c>
      <c r="AA40" s="35">
        <v>0</v>
      </c>
      <c r="AB40" s="60">
        <v>0</v>
      </c>
      <c r="AC40" s="42">
        <f>SUM(E40:AB40)*D40</f>
        <v>0</v>
      </c>
      <c r="AD40" s="163">
        <v>0</v>
      </c>
    </row>
    <row r="41" spans="1:30" s="44" customFormat="1" ht="12.75">
      <c r="A41" s="45"/>
      <c r="B41" s="63" t="s">
        <v>34</v>
      </c>
      <c r="C41" s="31">
        <v>0</v>
      </c>
      <c r="D41" s="27">
        <f>C41*C40</f>
        <v>0</v>
      </c>
      <c r="E41" s="49">
        <f>E40*$D$40</f>
        <v>0</v>
      </c>
      <c r="F41" s="49">
        <f t="shared" ref="F41:AB41" si="25">F40*$D$40</f>
        <v>0</v>
      </c>
      <c r="G41" s="59">
        <f t="shared" si="25"/>
        <v>0</v>
      </c>
      <c r="H41" s="49">
        <f t="shared" si="25"/>
        <v>0</v>
      </c>
      <c r="I41" s="49">
        <f t="shared" si="25"/>
        <v>0</v>
      </c>
      <c r="J41" s="59">
        <f t="shared" si="25"/>
        <v>0</v>
      </c>
      <c r="K41" s="49">
        <f t="shared" si="25"/>
        <v>0</v>
      </c>
      <c r="L41" s="49">
        <f t="shared" si="25"/>
        <v>0</v>
      </c>
      <c r="M41" s="59">
        <f t="shared" si="25"/>
        <v>0</v>
      </c>
      <c r="N41" s="49">
        <f t="shared" si="25"/>
        <v>0</v>
      </c>
      <c r="O41" s="49">
        <f t="shared" si="25"/>
        <v>0</v>
      </c>
      <c r="P41" s="59">
        <f t="shared" si="25"/>
        <v>0</v>
      </c>
      <c r="Q41" s="49">
        <f t="shared" si="25"/>
        <v>0</v>
      </c>
      <c r="R41" s="49">
        <f t="shared" si="25"/>
        <v>0</v>
      </c>
      <c r="S41" s="59">
        <f t="shared" si="25"/>
        <v>0</v>
      </c>
      <c r="T41" s="49">
        <f t="shared" si="25"/>
        <v>0</v>
      </c>
      <c r="U41" s="49">
        <f t="shared" si="25"/>
        <v>0</v>
      </c>
      <c r="V41" s="59">
        <f t="shared" si="25"/>
        <v>0</v>
      </c>
      <c r="W41" s="49">
        <f t="shared" si="25"/>
        <v>0</v>
      </c>
      <c r="X41" s="49">
        <f t="shared" si="25"/>
        <v>0</v>
      </c>
      <c r="Y41" s="59">
        <f t="shared" si="25"/>
        <v>0</v>
      </c>
      <c r="Z41" s="49">
        <f t="shared" si="25"/>
        <v>0</v>
      </c>
      <c r="AA41" s="49">
        <f t="shared" si="25"/>
        <v>0</v>
      </c>
      <c r="AB41" s="59">
        <f t="shared" si="25"/>
        <v>0</v>
      </c>
      <c r="AC41" s="43">
        <f t="shared" ref="AC41:AC43" si="26">SUM(E41:AB41)</f>
        <v>0</v>
      </c>
      <c r="AD41" s="164"/>
    </row>
    <row r="42" spans="1:30" s="44" customFormat="1" ht="12.75">
      <c r="A42" s="45"/>
      <c r="B42" s="66" t="s">
        <v>36</v>
      </c>
      <c r="C42" s="53"/>
      <c r="D42" s="53"/>
      <c r="E42" s="105">
        <f>E28*$D$28+E30*$D$30+E32*$D$32+E34*$D$34+E36*$D$36+E38*$D$38+E40*$D$40</f>
        <v>0</v>
      </c>
      <c r="F42" s="105">
        <f t="shared" ref="F42:AB42" si="27">F28*$D$28+F30*$D$30+F32*$D$32+F34*$D$34+F36*$D$36+F38*$D$38+F40*$D$40</f>
        <v>0</v>
      </c>
      <c r="G42" s="105">
        <f t="shared" si="27"/>
        <v>0</v>
      </c>
      <c r="H42" s="105">
        <f t="shared" si="27"/>
        <v>0</v>
      </c>
      <c r="I42" s="105">
        <f t="shared" si="27"/>
        <v>0</v>
      </c>
      <c r="J42" s="105">
        <f t="shared" si="27"/>
        <v>0</v>
      </c>
      <c r="K42" s="105">
        <f t="shared" si="27"/>
        <v>0</v>
      </c>
      <c r="L42" s="105">
        <f t="shared" si="27"/>
        <v>0</v>
      </c>
      <c r="M42" s="105">
        <f t="shared" si="27"/>
        <v>0</v>
      </c>
      <c r="N42" s="105">
        <f t="shared" si="27"/>
        <v>0</v>
      </c>
      <c r="O42" s="105">
        <f t="shared" si="27"/>
        <v>0</v>
      </c>
      <c r="P42" s="105">
        <f t="shared" si="27"/>
        <v>0</v>
      </c>
      <c r="Q42" s="105">
        <f t="shared" si="27"/>
        <v>0</v>
      </c>
      <c r="R42" s="105">
        <f t="shared" si="27"/>
        <v>0</v>
      </c>
      <c r="S42" s="105">
        <f t="shared" si="27"/>
        <v>0</v>
      </c>
      <c r="T42" s="105">
        <f t="shared" si="27"/>
        <v>0</v>
      </c>
      <c r="U42" s="105">
        <f t="shared" si="27"/>
        <v>0</v>
      </c>
      <c r="V42" s="105">
        <f t="shared" si="27"/>
        <v>0</v>
      </c>
      <c r="W42" s="105">
        <f t="shared" si="27"/>
        <v>0</v>
      </c>
      <c r="X42" s="105">
        <f t="shared" si="27"/>
        <v>0</v>
      </c>
      <c r="Y42" s="105">
        <f t="shared" si="27"/>
        <v>0</v>
      </c>
      <c r="Z42" s="105">
        <f t="shared" si="27"/>
        <v>0</v>
      </c>
      <c r="AA42" s="105">
        <f t="shared" si="27"/>
        <v>0</v>
      </c>
      <c r="AB42" s="105">
        <f t="shared" si="27"/>
        <v>0</v>
      </c>
      <c r="AC42" s="105">
        <f t="shared" si="26"/>
        <v>0</v>
      </c>
      <c r="AD42" s="205" t="s">
        <v>45</v>
      </c>
    </row>
    <row r="43" spans="1:30" s="44" customFormat="1" ht="12.75">
      <c r="A43" s="45"/>
      <c r="B43" s="67" t="s">
        <v>35</v>
      </c>
      <c r="C43" s="55"/>
      <c r="D43" s="55"/>
      <c r="E43" s="106">
        <f t="shared" ref="E43:AB43" si="28">E29+E31+E33+E35+E37+E39+E41</f>
        <v>0</v>
      </c>
      <c r="F43" s="106">
        <f t="shared" si="28"/>
        <v>0</v>
      </c>
      <c r="G43" s="107">
        <f t="shared" si="28"/>
        <v>0</v>
      </c>
      <c r="H43" s="106">
        <f t="shared" si="28"/>
        <v>0</v>
      </c>
      <c r="I43" s="106">
        <f t="shared" si="28"/>
        <v>0</v>
      </c>
      <c r="J43" s="107">
        <f t="shared" si="28"/>
        <v>0</v>
      </c>
      <c r="K43" s="106">
        <f t="shared" si="28"/>
        <v>0</v>
      </c>
      <c r="L43" s="106">
        <f t="shared" si="28"/>
        <v>0</v>
      </c>
      <c r="M43" s="107">
        <f t="shared" si="28"/>
        <v>0</v>
      </c>
      <c r="N43" s="106">
        <f t="shared" si="28"/>
        <v>0</v>
      </c>
      <c r="O43" s="106">
        <f t="shared" si="28"/>
        <v>0</v>
      </c>
      <c r="P43" s="107">
        <f t="shared" si="28"/>
        <v>0</v>
      </c>
      <c r="Q43" s="106">
        <f t="shared" si="28"/>
        <v>0</v>
      </c>
      <c r="R43" s="106">
        <f t="shared" si="28"/>
        <v>0</v>
      </c>
      <c r="S43" s="107">
        <f t="shared" si="28"/>
        <v>0</v>
      </c>
      <c r="T43" s="106">
        <f t="shared" si="28"/>
        <v>0</v>
      </c>
      <c r="U43" s="106">
        <f t="shared" si="28"/>
        <v>0</v>
      </c>
      <c r="V43" s="107">
        <f t="shared" si="28"/>
        <v>0</v>
      </c>
      <c r="W43" s="106">
        <f t="shared" si="28"/>
        <v>0</v>
      </c>
      <c r="X43" s="106">
        <f t="shared" si="28"/>
        <v>0</v>
      </c>
      <c r="Y43" s="107">
        <f t="shared" si="28"/>
        <v>0</v>
      </c>
      <c r="Z43" s="106">
        <f t="shared" si="28"/>
        <v>0</v>
      </c>
      <c r="AA43" s="106">
        <f t="shared" si="28"/>
        <v>0</v>
      </c>
      <c r="AB43" s="107">
        <f t="shared" si="28"/>
        <v>0</v>
      </c>
      <c r="AC43" s="106">
        <f t="shared" si="26"/>
        <v>0</v>
      </c>
      <c r="AD43" s="205"/>
    </row>
    <row r="44" spans="1:30" s="44" customFormat="1" ht="12.75">
      <c r="A44" s="45"/>
      <c r="B44" s="85" t="s">
        <v>38</v>
      </c>
      <c r="C44" s="77"/>
      <c r="D44" s="77"/>
      <c r="E44" s="108">
        <f>E42+E43</f>
        <v>0</v>
      </c>
      <c r="F44" s="108">
        <f t="shared" ref="F44:AB44" si="29">F42+F43</f>
        <v>0</v>
      </c>
      <c r="G44" s="109">
        <f t="shared" si="29"/>
        <v>0</v>
      </c>
      <c r="H44" s="108">
        <f t="shared" si="29"/>
        <v>0</v>
      </c>
      <c r="I44" s="108">
        <f t="shared" si="29"/>
        <v>0</v>
      </c>
      <c r="J44" s="109">
        <f t="shared" si="29"/>
        <v>0</v>
      </c>
      <c r="K44" s="108">
        <f t="shared" si="29"/>
        <v>0</v>
      </c>
      <c r="L44" s="108">
        <f t="shared" si="29"/>
        <v>0</v>
      </c>
      <c r="M44" s="109">
        <f t="shared" si="29"/>
        <v>0</v>
      </c>
      <c r="N44" s="108">
        <f t="shared" si="29"/>
        <v>0</v>
      </c>
      <c r="O44" s="108">
        <f t="shared" si="29"/>
        <v>0</v>
      </c>
      <c r="P44" s="109">
        <f t="shared" si="29"/>
        <v>0</v>
      </c>
      <c r="Q44" s="108">
        <f t="shared" si="29"/>
        <v>0</v>
      </c>
      <c r="R44" s="108">
        <f t="shared" si="29"/>
        <v>0</v>
      </c>
      <c r="S44" s="109">
        <f t="shared" si="29"/>
        <v>0</v>
      </c>
      <c r="T44" s="108">
        <f t="shared" si="29"/>
        <v>0</v>
      </c>
      <c r="U44" s="108">
        <f t="shared" si="29"/>
        <v>0</v>
      </c>
      <c r="V44" s="109">
        <f t="shared" si="29"/>
        <v>0</v>
      </c>
      <c r="W44" s="108">
        <f t="shared" si="29"/>
        <v>0</v>
      </c>
      <c r="X44" s="108">
        <f t="shared" si="29"/>
        <v>0</v>
      </c>
      <c r="Y44" s="109">
        <f t="shared" si="29"/>
        <v>0</v>
      </c>
      <c r="Z44" s="108">
        <f t="shared" si="29"/>
        <v>0</v>
      </c>
      <c r="AA44" s="108">
        <f t="shared" si="29"/>
        <v>0</v>
      </c>
      <c r="AB44" s="109">
        <f t="shared" si="29"/>
        <v>0</v>
      </c>
      <c r="AC44" s="151">
        <f>AC42+AC43</f>
        <v>0</v>
      </c>
      <c r="AD44" s="152">
        <f>AD28+AD30+AD32+AD34+AD36+AD38+AD40</f>
        <v>0</v>
      </c>
    </row>
    <row r="45" spans="1:30" s="22" customFormat="1" ht="12.75">
      <c r="A45" s="24"/>
      <c r="B45" s="86"/>
      <c r="C45" s="90"/>
      <c r="D45" s="90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100"/>
      <c r="AD45" s="101"/>
    </row>
    <row r="46" spans="1:30" ht="12.75">
      <c r="A46" s="1"/>
      <c r="B46" s="91" t="s">
        <v>39</v>
      </c>
      <c r="C46" s="74"/>
      <c r="D46" s="74"/>
      <c r="E46" s="179" t="s">
        <v>13</v>
      </c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69"/>
      <c r="AD46" s="98"/>
    </row>
    <row r="47" spans="1:30" ht="12.75">
      <c r="A47" s="1"/>
      <c r="B47" s="182" t="s">
        <v>40</v>
      </c>
      <c r="C47" s="183"/>
      <c r="D47" s="183"/>
      <c r="E47" s="13">
        <v>0</v>
      </c>
      <c r="F47" s="13">
        <v>0</v>
      </c>
      <c r="G47" s="14">
        <v>0</v>
      </c>
      <c r="H47" s="13">
        <v>0</v>
      </c>
      <c r="I47" s="13">
        <v>0</v>
      </c>
      <c r="J47" s="14">
        <v>0</v>
      </c>
      <c r="K47" s="13">
        <v>0</v>
      </c>
      <c r="L47" s="13">
        <v>0</v>
      </c>
      <c r="M47" s="14">
        <v>0</v>
      </c>
      <c r="N47" s="13">
        <v>0</v>
      </c>
      <c r="O47" s="13">
        <v>0</v>
      </c>
      <c r="P47" s="14">
        <v>0</v>
      </c>
      <c r="Q47" s="13">
        <v>0</v>
      </c>
      <c r="R47" s="13">
        <v>0</v>
      </c>
      <c r="S47" s="14">
        <v>0</v>
      </c>
      <c r="T47" s="13">
        <v>0</v>
      </c>
      <c r="U47" s="13">
        <v>0</v>
      </c>
      <c r="V47" s="14">
        <v>0</v>
      </c>
      <c r="W47" s="13">
        <v>0</v>
      </c>
      <c r="X47" s="13">
        <v>0</v>
      </c>
      <c r="Y47" s="14">
        <v>0</v>
      </c>
      <c r="Z47" s="13">
        <v>0</v>
      </c>
      <c r="AA47" s="13">
        <v>0</v>
      </c>
      <c r="AB47" s="14">
        <v>0</v>
      </c>
      <c r="AC47" s="15">
        <f t="shared" ref="AC47:AC51" si="30">SUM(E47:AB47)</f>
        <v>0</v>
      </c>
      <c r="AD47" s="136">
        <v>0</v>
      </c>
    </row>
    <row r="48" spans="1:30" ht="12.75">
      <c r="A48" s="1"/>
      <c r="B48" s="189" t="s">
        <v>46</v>
      </c>
      <c r="C48" s="190"/>
      <c r="D48" s="190"/>
      <c r="E48" s="16">
        <v>0</v>
      </c>
      <c r="F48" s="16">
        <v>0</v>
      </c>
      <c r="G48" s="17">
        <v>0</v>
      </c>
      <c r="H48" s="16">
        <v>0</v>
      </c>
      <c r="I48" s="16">
        <v>0</v>
      </c>
      <c r="J48" s="17">
        <v>0</v>
      </c>
      <c r="K48" s="16">
        <v>0</v>
      </c>
      <c r="L48" s="16">
        <v>0</v>
      </c>
      <c r="M48" s="17">
        <v>0</v>
      </c>
      <c r="N48" s="16">
        <v>0</v>
      </c>
      <c r="O48" s="16">
        <v>0</v>
      </c>
      <c r="P48" s="17">
        <v>0</v>
      </c>
      <c r="Q48" s="16">
        <v>0</v>
      </c>
      <c r="R48" s="16">
        <v>0</v>
      </c>
      <c r="S48" s="17">
        <v>0</v>
      </c>
      <c r="T48" s="16">
        <v>0</v>
      </c>
      <c r="U48" s="16">
        <v>0</v>
      </c>
      <c r="V48" s="17">
        <v>0</v>
      </c>
      <c r="W48" s="16">
        <v>0</v>
      </c>
      <c r="X48" s="16">
        <v>0</v>
      </c>
      <c r="Y48" s="17">
        <v>0</v>
      </c>
      <c r="Z48" s="16">
        <v>0</v>
      </c>
      <c r="AA48" s="16">
        <v>0</v>
      </c>
      <c r="AB48" s="17">
        <v>0</v>
      </c>
      <c r="AC48" s="18">
        <f t="shared" si="30"/>
        <v>0</v>
      </c>
      <c r="AD48" s="136">
        <v>0</v>
      </c>
    </row>
    <row r="49" spans="1:30" ht="12.75">
      <c r="A49" s="1"/>
      <c r="B49" s="189" t="s">
        <v>47</v>
      </c>
      <c r="C49" s="190"/>
      <c r="D49" s="190"/>
      <c r="E49" s="16">
        <v>0</v>
      </c>
      <c r="F49" s="16">
        <v>0</v>
      </c>
      <c r="G49" s="17">
        <v>0</v>
      </c>
      <c r="H49" s="16">
        <v>0</v>
      </c>
      <c r="I49" s="16">
        <v>0</v>
      </c>
      <c r="J49" s="17">
        <v>0</v>
      </c>
      <c r="K49" s="16">
        <v>0</v>
      </c>
      <c r="L49" s="16">
        <v>0</v>
      </c>
      <c r="M49" s="17">
        <v>0</v>
      </c>
      <c r="N49" s="16">
        <v>0</v>
      </c>
      <c r="O49" s="16">
        <v>0</v>
      </c>
      <c r="P49" s="17">
        <v>0</v>
      </c>
      <c r="Q49" s="16">
        <v>0</v>
      </c>
      <c r="R49" s="16">
        <v>0</v>
      </c>
      <c r="S49" s="17">
        <v>0</v>
      </c>
      <c r="T49" s="16">
        <v>0</v>
      </c>
      <c r="U49" s="16">
        <v>0</v>
      </c>
      <c r="V49" s="17">
        <v>0</v>
      </c>
      <c r="W49" s="16">
        <v>0</v>
      </c>
      <c r="X49" s="16">
        <v>0</v>
      </c>
      <c r="Y49" s="17">
        <v>0</v>
      </c>
      <c r="Z49" s="16">
        <v>0</v>
      </c>
      <c r="AA49" s="16">
        <v>0</v>
      </c>
      <c r="AB49" s="17">
        <v>0</v>
      </c>
      <c r="AC49" s="18">
        <f t="shared" si="30"/>
        <v>0</v>
      </c>
      <c r="AD49" s="136">
        <v>0</v>
      </c>
    </row>
    <row r="50" spans="1:30" ht="12.75">
      <c r="A50" s="1"/>
      <c r="B50" s="189" t="s">
        <v>43</v>
      </c>
      <c r="C50" s="190"/>
      <c r="D50" s="190"/>
      <c r="E50" s="19">
        <v>0</v>
      </c>
      <c r="F50" s="19">
        <v>0</v>
      </c>
      <c r="G50" s="20">
        <v>0</v>
      </c>
      <c r="H50" s="19">
        <v>0</v>
      </c>
      <c r="I50" s="19">
        <v>0</v>
      </c>
      <c r="J50" s="20">
        <v>0</v>
      </c>
      <c r="K50" s="19">
        <v>0</v>
      </c>
      <c r="L50" s="19">
        <v>0</v>
      </c>
      <c r="M50" s="20">
        <v>0</v>
      </c>
      <c r="N50" s="19">
        <v>0</v>
      </c>
      <c r="O50" s="19">
        <v>0</v>
      </c>
      <c r="P50" s="20">
        <v>0</v>
      </c>
      <c r="Q50" s="19">
        <v>0</v>
      </c>
      <c r="R50" s="19">
        <v>0</v>
      </c>
      <c r="S50" s="20">
        <v>0</v>
      </c>
      <c r="T50" s="19">
        <v>0</v>
      </c>
      <c r="U50" s="19">
        <v>0</v>
      </c>
      <c r="V50" s="20">
        <v>0</v>
      </c>
      <c r="W50" s="19">
        <v>0</v>
      </c>
      <c r="X50" s="19">
        <v>0</v>
      </c>
      <c r="Y50" s="20">
        <v>0</v>
      </c>
      <c r="Z50" s="19">
        <v>0</v>
      </c>
      <c r="AA50" s="19">
        <v>0</v>
      </c>
      <c r="AB50" s="20">
        <v>0</v>
      </c>
      <c r="AC50" s="21">
        <f t="shared" si="30"/>
        <v>0</v>
      </c>
      <c r="AD50" s="136">
        <v>0</v>
      </c>
    </row>
    <row r="51" spans="1:30" ht="12.75">
      <c r="A51" s="1"/>
      <c r="B51" s="89" t="s">
        <v>11</v>
      </c>
      <c r="C51" s="70"/>
      <c r="D51" s="70"/>
      <c r="E51" s="71">
        <f t="shared" ref="E51:AB51" si="31">SUM(E47:E50)</f>
        <v>0</v>
      </c>
      <c r="F51" s="71">
        <f t="shared" si="31"/>
        <v>0</v>
      </c>
      <c r="G51" s="72">
        <f t="shared" si="31"/>
        <v>0</v>
      </c>
      <c r="H51" s="71">
        <f t="shared" si="31"/>
        <v>0</v>
      </c>
      <c r="I51" s="71">
        <f t="shared" si="31"/>
        <v>0</v>
      </c>
      <c r="J51" s="72">
        <f t="shared" si="31"/>
        <v>0</v>
      </c>
      <c r="K51" s="71">
        <f t="shared" si="31"/>
        <v>0</v>
      </c>
      <c r="L51" s="71">
        <f t="shared" si="31"/>
        <v>0</v>
      </c>
      <c r="M51" s="72">
        <f t="shared" si="31"/>
        <v>0</v>
      </c>
      <c r="N51" s="71">
        <f t="shared" si="31"/>
        <v>0</v>
      </c>
      <c r="O51" s="71">
        <f t="shared" si="31"/>
        <v>0</v>
      </c>
      <c r="P51" s="72">
        <f t="shared" si="31"/>
        <v>0</v>
      </c>
      <c r="Q51" s="71">
        <f t="shared" si="31"/>
        <v>0</v>
      </c>
      <c r="R51" s="71">
        <f t="shared" si="31"/>
        <v>0</v>
      </c>
      <c r="S51" s="72">
        <f t="shared" si="31"/>
        <v>0</v>
      </c>
      <c r="T51" s="71">
        <f t="shared" si="31"/>
        <v>0</v>
      </c>
      <c r="U51" s="71">
        <f t="shared" si="31"/>
        <v>0</v>
      </c>
      <c r="V51" s="72">
        <f t="shared" si="31"/>
        <v>0</v>
      </c>
      <c r="W51" s="71">
        <f t="shared" si="31"/>
        <v>0</v>
      </c>
      <c r="X51" s="71">
        <f t="shared" si="31"/>
        <v>0</v>
      </c>
      <c r="Y51" s="72">
        <f t="shared" si="31"/>
        <v>0</v>
      </c>
      <c r="Z51" s="71">
        <f t="shared" si="31"/>
        <v>0</v>
      </c>
      <c r="AA51" s="71">
        <f t="shared" si="31"/>
        <v>0</v>
      </c>
      <c r="AB51" s="72">
        <f t="shared" si="31"/>
        <v>0</v>
      </c>
      <c r="AC51" s="153">
        <f t="shared" si="30"/>
        <v>0</v>
      </c>
      <c r="AD51" s="152">
        <f>SUM(AD47:AD50)</f>
        <v>0</v>
      </c>
    </row>
    <row r="52" spans="1:30" s="22" customFormat="1" ht="12.75">
      <c r="A52" s="24"/>
      <c r="B52" s="86"/>
      <c r="C52" s="92"/>
      <c r="D52" s="92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100"/>
      <c r="AD52" s="101"/>
    </row>
    <row r="53" spans="1:30" s="22" customFormat="1" ht="12.75">
      <c r="A53" s="24"/>
      <c r="B53" s="184" t="s">
        <v>15</v>
      </c>
      <c r="C53" s="185"/>
      <c r="D53" s="185"/>
      <c r="E53" s="179" t="s">
        <v>13</v>
      </c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69"/>
      <c r="AD53" s="98"/>
    </row>
    <row r="54" spans="1:30" s="22" customFormat="1" ht="12.75">
      <c r="A54" s="24"/>
      <c r="B54" s="182" t="s">
        <v>16</v>
      </c>
      <c r="C54" s="183"/>
      <c r="D54" s="183"/>
      <c r="E54" s="13">
        <v>0</v>
      </c>
      <c r="F54" s="13">
        <v>0</v>
      </c>
      <c r="G54" s="14">
        <v>0</v>
      </c>
      <c r="H54" s="13">
        <v>0</v>
      </c>
      <c r="I54" s="13">
        <v>0</v>
      </c>
      <c r="J54" s="14">
        <v>0</v>
      </c>
      <c r="K54" s="13">
        <v>0</v>
      </c>
      <c r="L54" s="13">
        <v>0</v>
      </c>
      <c r="M54" s="14">
        <v>0</v>
      </c>
      <c r="N54" s="13">
        <v>0</v>
      </c>
      <c r="O54" s="13">
        <v>0</v>
      </c>
      <c r="P54" s="14">
        <v>0</v>
      </c>
      <c r="Q54" s="13">
        <v>0</v>
      </c>
      <c r="R54" s="13">
        <v>0</v>
      </c>
      <c r="S54" s="14">
        <v>0</v>
      </c>
      <c r="T54" s="13">
        <v>0</v>
      </c>
      <c r="U54" s="13">
        <v>0</v>
      </c>
      <c r="V54" s="14">
        <v>0</v>
      </c>
      <c r="W54" s="13">
        <v>0</v>
      </c>
      <c r="X54" s="13">
        <v>0</v>
      </c>
      <c r="Y54" s="14">
        <v>0</v>
      </c>
      <c r="Z54" s="13">
        <v>0</v>
      </c>
      <c r="AA54" s="13">
        <v>0</v>
      </c>
      <c r="AB54" s="14">
        <v>0</v>
      </c>
      <c r="AC54" s="15">
        <f t="shared" ref="AC54:AC58" si="32">SUM(E54:AB54)</f>
        <v>0</v>
      </c>
      <c r="AD54" s="136">
        <v>0</v>
      </c>
    </row>
    <row r="55" spans="1:30" s="22" customFormat="1" ht="12.75">
      <c r="A55" s="24"/>
      <c r="B55" s="189" t="s">
        <v>17</v>
      </c>
      <c r="C55" s="190"/>
      <c r="D55" s="190"/>
      <c r="E55" s="16">
        <v>0</v>
      </c>
      <c r="F55" s="16">
        <v>0</v>
      </c>
      <c r="G55" s="17">
        <v>0</v>
      </c>
      <c r="H55" s="16">
        <v>0</v>
      </c>
      <c r="I55" s="16">
        <v>0</v>
      </c>
      <c r="J55" s="17">
        <v>0</v>
      </c>
      <c r="K55" s="16">
        <v>0</v>
      </c>
      <c r="L55" s="16">
        <v>0</v>
      </c>
      <c r="M55" s="17">
        <v>0</v>
      </c>
      <c r="N55" s="16">
        <v>0</v>
      </c>
      <c r="O55" s="16">
        <v>0</v>
      </c>
      <c r="P55" s="17">
        <v>0</v>
      </c>
      <c r="Q55" s="16">
        <v>0</v>
      </c>
      <c r="R55" s="16">
        <v>0</v>
      </c>
      <c r="S55" s="17">
        <v>0</v>
      </c>
      <c r="T55" s="16">
        <v>0</v>
      </c>
      <c r="U55" s="16">
        <v>0</v>
      </c>
      <c r="V55" s="17">
        <v>0</v>
      </c>
      <c r="W55" s="16">
        <v>0</v>
      </c>
      <c r="X55" s="16">
        <v>0</v>
      </c>
      <c r="Y55" s="17">
        <v>0</v>
      </c>
      <c r="Z55" s="16">
        <v>0</v>
      </c>
      <c r="AA55" s="16">
        <v>0</v>
      </c>
      <c r="AB55" s="17">
        <v>0</v>
      </c>
      <c r="AC55" s="18">
        <f t="shared" si="32"/>
        <v>0</v>
      </c>
      <c r="AD55" s="136">
        <v>0</v>
      </c>
    </row>
    <row r="56" spans="1:30" s="22" customFormat="1" ht="12.75">
      <c r="A56" s="24"/>
      <c r="B56" s="189" t="s">
        <v>18</v>
      </c>
      <c r="C56" s="190"/>
      <c r="D56" s="190"/>
      <c r="E56" s="16">
        <v>0</v>
      </c>
      <c r="F56" s="16">
        <v>0</v>
      </c>
      <c r="G56" s="17">
        <v>0</v>
      </c>
      <c r="H56" s="16">
        <v>0</v>
      </c>
      <c r="I56" s="16">
        <v>0</v>
      </c>
      <c r="J56" s="17">
        <v>0</v>
      </c>
      <c r="K56" s="16">
        <v>0</v>
      </c>
      <c r="L56" s="16">
        <v>0</v>
      </c>
      <c r="M56" s="17">
        <v>0</v>
      </c>
      <c r="N56" s="16">
        <v>0</v>
      </c>
      <c r="O56" s="16">
        <v>0</v>
      </c>
      <c r="P56" s="17">
        <v>0</v>
      </c>
      <c r="Q56" s="16">
        <v>0</v>
      </c>
      <c r="R56" s="16">
        <v>0</v>
      </c>
      <c r="S56" s="17">
        <v>0</v>
      </c>
      <c r="T56" s="16">
        <v>0</v>
      </c>
      <c r="U56" s="16">
        <v>0</v>
      </c>
      <c r="V56" s="17">
        <v>0</v>
      </c>
      <c r="W56" s="16">
        <v>0</v>
      </c>
      <c r="X56" s="16">
        <v>0</v>
      </c>
      <c r="Y56" s="17">
        <v>0</v>
      </c>
      <c r="Z56" s="16">
        <v>0</v>
      </c>
      <c r="AA56" s="16">
        <v>0</v>
      </c>
      <c r="AB56" s="17">
        <v>0</v>
      </c>
      <c r="AC56" s="18">
        <f t="shared" si="32"/>
        <v>0</v>
      </c>
      <c r="AD56" s="136">
        <v>0</v>
      </c>
    </row>
    <row r="57" spans="1:30" s="22" customFormat="1" ht="12.75">
      <c r="A57" s="24"/>
      <c r="B57" s="189" t="s">
        <v>18</v>
      </c>
      <c r="C57" s="190"/>
      <c r="D57" s="190"/>
      <c r="E57" s="19">
        <v>0</v>
      </c>
      <c r="F57" s="19">
        <v>0</v>
      </c>
      <c r="G57" s="20">
        <v>0</v>
      </c>
      <c r="H57" s="19">
        <v>0</v>
      </c>
      <c r="I57" s="19">
        <v>0</v>
      </c>
      <c r="J57" s="20">
        <v>0</v>
      </c>
      <c r="K57" s="19">
        <v>0</v>
      </c>
      <c r="L57" s="19">
        <v>0</v>
      </c>
      <c r="M57" s="20">
        <v>0</v>
      </c>
      <c r="N57" s="19">
        <v>0</v>
      </c>
      <c r="O57" s="19">
        <v>0</v>
      </c>
      <c r="P57" s="20">
        <v>0</v>
      </c>
      <c r="Q57" s="19">
        <v>0</v>
      </c>
      <c r="R57" s="19">
        <v>0</v>
      </c>
      <c r="S57" s="20">
        <v>0</v>
      </c>
      <c r="T57" s="19">
        <v>0</v>
      </c>
      <c r="U57" s="19">
        <v>0</v>
      </c>
      <c r="V57" s="20">
        <v>0</v>
      </c>
      <c r="W57" s="19">
        <v>0</v>
      </c>
      <c r="X57" s="19">
        <v>0</v>
      </c>
      <c r="Y57" s="20">
        <v>0</v>
      </c>
      <c r="Z57" s="19">
        <v>0</v>
      </c>
      <c r="AA57" s="19">
        <v>0</v>
      </c>
      <c r="AB57" s="20">
        <v>0</v>
      </c>
      <c r="AC57" s="21">
        <f t="shared" si="32"/>
        <v>0</v>
      </c>
      <c r="AD57" s="136">
        <v>0</v>
      </c>
    </row>
    <row r="58" spans="1:30" s="22" customFormat="1" ht="12.75">
      <c r="A58" s="24"/>
      <c r="B58" s="89" t="s">
        <v>11</v>
      </c>
      <c r="C58" s="70"/>
      <c r="D58" s="70"/>
      <c r="E58" s="71">
        <f t="shared" ref="E58:AB58" si="33">SUM(E54:E57)</f>
        <v>0</v>
      </c>
      <c r="F58" s="71">
        <f t="shared" si="33"/>
        <v>0</v>
      </c>
      <c r="G58" s="72">
        <f t="shared" si="33"/>
        <v>0</v>
      </c>
      <c r="H58" s="71">
        <f t="shared" si="33"/>
        <v>0</v>
      </c>
      <c r="I58" s="71">
        <f t="shared" si="33"/>
        <v>0</v>
      </c>
      <c r="J58" s="72">
        <f t="shared" si="33"/>
        <v>0</v>
      </c>
      <c r="K58" s="71">
        <f t="shared" si="33"/>
        <v>0</v>
      </c>
      <c r="L58" s="71">
        <f t="shared" si="33"/>
        <v>0</v>
      </c>
      <c r="M58" s="72">
        <f t="shared" si="33"/>
        <v>0</v>
      </c>
      <c r="N58" s="71">
        <f t="shared" si="33"/>
        <v>0</v>
      </c>
      <c r="O58" s="71">
        <f t="shared" si="33"/>
        <v>0</v>
      </c>
      <c r="P58" s="72">
        <f t="shared" si="33"/>
        <v>0</v>
      </c>
      <c r="Q58" s="71">
        <f t="shared" si="33"/>
        <v>0</v>
      </c>
      <c r="R58" s="71">
        <f t="shared" si="33"/>
        <v>0</v>
      </c>
      <c r="S58" s="72">
        <f t="shared" si="33"/>
        <v>0</v>
      </c>
      <c r="T58" s="71">
        <f t="shared" si="33"/>
        <v>0</v>
      </c>
      <c r="U58" s="71">
        <f t="shared" si="33"/>
        <v>0</v>
      </c>
      <c r="V58" s="72">
        <f t="shared" si="33"/>
        <v>0</v>
      </c>
      <c r="W58" s="71">
        <f t="shared" si="33"/>
        <v>0</v>
      </c>
      <c r="X58" s="71">
        <f t="shared" si="33"/>
        <v>0</v>
      </c>
      <c r="Y58" s="72">
        <f t="shared" si="33"/>
        <v>0</v>
      </c>
      <c r="Z58" s="71">
        <f t="shared" si="33"/>
        <v>0</v>
      </c>
      <c r="AA58" s="71">
        <f t="shared" si="33"/>
        <v>0</v>
      </c>
      <c r="AB58" s="72">
        <f t="shared" si="33"/>
        <v>0</v>
      </c>
      <c r="AC58" s="153">
        <f t="shared" si="32"/>
        <v>0</v>
      </c>
      <c r="AD58" s="152">
        <f>SUM(AD54:AD57)</f>
        <v>0</v>
      </c>
    </row>
    <row r="59" spans="1:30" s="22" customFormat="1" ht="12.75">
      <c r="A59" s="24"/>
      <c r="B59" s="86"/>
      <c r="C59" s="92"/>
      <c r="D59" s="92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100"/>
      <c r="AD59" s="101"/>
    </row>
    <row r="60" spans="1:30" ht="12.75">
      <c r="A60" s="1"/>
      <c r="B60" s="201" t="s">
        <v>19</v>
      </c>
      <c r="C60" s="202"/>
      <c r="D60" s="202"/>
      <c r="E60" s="179" t="s">
        <v>13</v>
      </c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69"/>
      <c r="AD60" s="98"/>
    </row>
    <row r="61" spans="1:30" ht="12.75">
      <c r="A61" s="1"/>
      <c r="B61" s="182" t="s">
        <v>20</v>
      </c>
      <c r="C61" s="183"/>
      <c r="D61" s="183"/>
      <c r="E61" s="13">
        <v>0</v>
      </c>
      <c r="F61" s="13">
        <v>0</v>
      </c>
      <c r="G61" s="14">
        <v>0</v>
      </c>
      <c r="H61" s="13">
        <v>0</v>
      </c>
      <c r="I61" s="13">
        <v>0</v>
      </c>
      <c r="J61" s="14">
        <v>0</v>
      </c>
      <c r="K61" s="13">
        <v>0</v>
      </c>
      <c r="L61" s="13">
        <v>0</v>
      </c>
      <c r="M61" s="14">
        <v>0</v>
      </c>
      <c r="N61" s="13">
        <v>0</v>
      </c>
      <c r="O61" s="13">
        <v>0</v>
      </c>
      <c r="P61" s="14">
        <v>0</v>
      </c>
      <c r="Q61" s="13">
        <v>0</v>
      </c>
      <c r="R61" s="13">
        <v>0</v>
      </c>
      <c r="S61" s="14">
        <v>0</v>
      </c>
      <c r="T61" s="13">
        <v>0</v>
      </c>
      <c r="U61" s="13">
        <v>0</v>
      </c>
      <c r="V61" s="14">
        <v>0</v>
      </c>
      <c r="W61" s="13">
        <v>0</v>
      </c>
      <c r="X61" s="13">
        <v>0</v>
      </c>
      <c r="Y61" s="14">
        <v>0</v>
      </c>
      <c r="Z61" s="13">
        <v>0</v>
      </c>
      <c r="AA61" s="13">
        <v>0</v>
      </c>
      <c r="AB61" s="14">
        <v>0</v>
      </c>
      <c r="AC61" s="15">
        <f t="shared" ref="AC61:AC68" si="34">SUM(E61:AB61)</f>
        <v>0</v>
      </c>
      <c r="AD61" s="136">
        <v>0</v>
      </c>
    </row>
    <row r="62" spans="1:30" ht="12.75">
      <c r="A62" s="1"/>
      <c r="B62" s="189" t="s">
        <v>62</v>
      </c>
      <c r="C62" s="190"/>
      <c r="D62" s="190"/>
      <c r="E62" s="16">
        <v>0</v>
      </c>
      <c r="F62" s="16">
        <v>0</v>
      </c>
      <c r="G62" s="17">
        <v>0</v>
      </c>
      <c r="H62" s="16">
        <v>0</v>
      </c>
      <c r="I62" s="16">
        <v>0</v>
      </c>
      <c r="J62" s="17">
        <v>0</v>
      </c>
      <c r="K62" s="16">
        <v>0</v>
      </c>
      <c r="L62" s="16">
        <v>0</v>
      </c>
      <c r="M62" s="17">
        <v>0</v>
      </c>
      <c r="N62" s="16">
        <v>0</v>
      </c>
      <c r="O62" s="16">
        <v>0</v>
      </c>
      <c r="P62" s="17">
        <v>0</v>
      </c>
      <c r="Q62" s="16">
        <v>0</v>
      </c>
      <c r="R62" s="16">
        <v>0</v>
      </c>
      <c r="S62" s="17">
        <v>0</v>
      </c>
      <c r="T62" s="16">
        <v>0</v>
      </c>
      <c r="U62" s="16">
        <v>0</v>
      </c>
      <c r="V62" s="17">
        <v>0</v>
      </c>
      <c r="W62" s="16">
        <v>0</v>
      </c>
      <c r="X62" s="16">
        <v>0</v>
      </c>
      <c r="Y62" s="17">
        <v>0</v>
      </c>
      <c r="Z62" s="16">
        <v>0</v>
      </c>
      <c r="AA62" s="16">
        <v>0</v>
      </c>
      <c r="AB62" s="17">
        <v>0</v>
      </c>
      <c r="AC62" s="18">
        <f t="shared" si="34"/>
        <v>0</v>
      </c>
      <c r="AD62" s="136">
        <v>0</v>
      </c>
    </row>
    <row r="63" spans="1:30" ht="12.75">
      <c r="A63" s="3"/>
      <c r="B63" s="189" t="s">
        <v>21</v>
      </c>
      <c r="C63" s="190"/>
      <c r="D63" s="190"/>
      <c r="E63" s="16">
        <v>0</v>
      </c>
      <c r="F63" s="16">
        <v>0</v>
      </c>
      <c r="G63" s="17">
        <v>0</v>
      </c>
      <c r="H63" s="16">
        <v>0</v>
      </c>
      <c r="I63" s="16">
        <v>0</v>
      </c>
      <c r="J63" s="17">
        <v>0</v>
      </c>
      <c r="K63" s="16">
        <v>0</v>
      </c>
      <c r="L63" s="16">
        <v>0</v>
      </c>
      <c r="M63" s="17">
        <v>0</v>
      </c>
      <c r="N63" s="16">
        <v>0</v>
      </c>
      <c r="O63" s="16">
        <v>0</v>
      </c>
      <c r="P63" s="17">
        <v>0</v>
      </c>
      <c r="Q63" s="16">
        <v>0</v>
      </c>
      <c r="R63" s="16">
        <v>0</v>
      </c>
      <c r="S63" s="17">
        <v>0</v>
      </c>
      <c r="T63" s="16">
        <v>0</v>
      </c>
      <c r="U63" s="16">
        <v>0</v>
      </c>
      <c r="V63" s="17">
        <v>0</v>
      </c>
      <c r="W63" s="16">
        <v>0</v>
      </c>
      <c r="X63" s="16">
        <v>0</v>
      </c>
      <c r="Y63" s="17">
        <v>0</v>
      </c>
      <c r="Z63" s="16">
        <v>0</v>
      </c>
      <c r="AA63" s="16">
        <v>0</v>
      </c>
      <c r="AB63" s="17">
        <v>0</v>
      </c>
      <c r="AC63" s="18">
        <f t="shared" si="34"/>
        <v>0</v>
      </c>
      <c r="AD63" s="136">
        <v>0</v>
      </c>
    </row>
    <row r="64" spans="1:30" ht="12.75">
      <c r="A64" s="1"/>
      <c r="B64" s="89" t="s">
        <v>11</v>
      </c>
      <c r="C64" s="70"/>
      <c r="D64" s="70"/>
      <c r="E64" s="71">
        <f t="shared" ref="E64:AB64" si="35">SUM(E61:E63)</f>
        <v>0</v>
      </c>
      <c r="F64" s="71">
        <f t="shared" si="35"/>
        <v>0</v>
      </c>
      <c r="G64" s="72">
        <f t="shared" si="35"/>
        <v>0</v>
      </c>
      <c r="H64" s="71">
        <f t="shared" si="35"/>
        <v>0</v>
      </c>
      <c r="I64" s="71">
        <f t="shared" si="35"/>
        <v>0</v>
      </c>
      <c r="J64" s="72">
        <f t="shared" si="35"/>
        <v>0</v>
      </c>
      <c r="K64" s="71">
        <f t="shared" si="35"/>
        <v>0</v>
      </c>
      <c r="L64" s="71">
        <f t="shared" si="35"/>
        <v>0</v>
      </c>
      <c r="M64" s="72">
        <f t="shared" si="35"/>
        <v>0</v>
      </c>
      <c r="N64" s="71">
        <f t="shared" si="35"/>
        <v>0</v>
      </c>
      <c r="O64" s="71">
        <f t="shared" si="35"/>
        <v>0</v>
      </c>
      <c r="P64" s="72">
        <f t="shared" si="35"/>
        <v>0</v>
      </c>
      <c r="Q64" s="71">
        <f t="shared" si="35"/>
        <v>0</v>
      </c>
      <c r="R64" s="71">
        <f t="shared" si="35"/>
        <v>0</v>
      </c>
      <c r="S64" s="72">
        <f t="shared" si="35"/>
        <v>0</v>
      </c>
      <c r="T64" s="71">
        <f t="shared" si="35"/>
        <v>0</v>
      </c>
      <c r="U64" s="71">
        <f t="shared" si="35"/>
        <v>0</v>
      </c>
      <c r="V64" s="72">
        <f t="shared" si="35"/>
        <v>0</v>
      </c>
      <c r="W64" s="71">
        <f t="shared" si="35"/>
        <v>0</v>
      </c>
      <c r="X64" s="71">
        <f t="shared" si="35"/>
        <v>0</v>
      </c>
      <c r="Y64" s="72">
        <f t="shared" si="35"/>
        <v>0</v>
      </c>
      <c r="Z64" s="71">
        <f t="shared" si="35"/>
        <v>0</v>
      </c>
      <c r="AA64" s="71">
        <f t="shared" si="35"/>
        <v>0</v>
      </c>
      <c r="AB64" s="72">
        <f t="shared" si="35"/>
        <v>0</v>
      </c>
      <c r="AC64" s="153">
        <f t="shared" si="34"/>
        <v>0</v>
      </c>
      <c r="AD64" s="152">
        <f>SUM(AD61:AD63)</f>
        <v>0</v>
      </c>
    </row>
    <row r="65" spans="1:30" s="22" customFormat="1" ht="12.75">
      <c r="A65" s="24"/>
      <c r="B65" s="93"/>
      <c r="C65" s="94"/>
      <c r="D65" s="94"/>
      <c r="E65" s="39"/>
      <c r="F65" s="39"/>
      <c r="G65" s="40"/>
      <c r="H65" s="39"/>
      <c r="I65" s="39"/>
      <c r="J65" s="40"/>
      <c r="K65" s="39"/>
      <c r="L65" s="39"/>
      <c r="M65" s="40"/>
      <c r="N65" s="39"/>
      <c r="O65" s="39"/>
      <c r="P65" s="40"/>
      <c r="Q65" s="39"/>
      <c r="R65" s="39"/>
      <c r="S65" s="40"/>
      <c r="T65" s="39"/>
      <c r="U65" s="39"/>
      <c r="V65" s="40"/>
      <c r="W65" s="39"/>
      <c r="X65" s="39"/>
      <c r="Y65" s="40"/>
      <c r="Z65" s="39"/>
      <c r="AA65" s="39"/>
      <c r="AB65" s="40"/>
      <c r="AC65" s="41"/>
      <c r="AD65" s="101"/>
    </row>
    <row r="66" spans="1:30" s="22" customFormat="1" ht="12.75">
      <c r="A66" s="24"/>
      <c r="B66" s="110" t="s">
        <v>44</v>
      </c>
      <c r="C66" s="111"/>
      <c r="D66" s="111"/>
      <c r="E66" s="112">
        <f t="shared" ref="E66:AB66" si="36">E64+E58+E51+E42+E23</f>
        <v>0</v>
      </c>
      <c r="F66" s="112">
        <f t="shared" si="36"/>
        <v>0</v>
      </c>
      <c r="G66" s="112">
        <f t="shared" si="36"/>
        <v>0</v>
      </c>
      <c r="H66" s="112">
        <f t="shared" si="36"/>
        <v>0</v>
      </c>
      <c r="I66" s="112">
        <f t="shared" si="36"/>
        <v>0</v>
      </c>
      <c r="J66" s="112">
        <f t="shared" si="36"/>
        <v>0</v>
      </c>
      <c r="K66" s="112">
        <f t="shared" si="36"/>
        <v>0</v>
      </c>
      <c r="L66" s="112">
        <f t="shared" si="36"/>
        <v>0</v>
      </c>
      <c r="M66" s="112">
        <f t="shared" si="36"/>
        <v>0</v>
      </c>
      <c r="N66" s="112">
        <f t="shared" si="36"/>
        <v>0</v>
      </c>
      <c r="O66" s="112">
        <f t="shared" si="36"/>
        <v>0</v>
      </c>
      <c r="P66" s="112">
        <f t="shared" si="36"/>
        <v>0</v>
      </c>
      <c r="Q66" s="112">
        <f t="shared" si="36"/>
        <v>0</v>
      </c>
      <c r="R66" s="112">
        <f t="shared" si="36"/>
        <v>0</v>
      </c>
      <c r="S66" s="112">
        <f t="shared" si="36"/>
        <v>0</v>
      </c>
      <c r="T66" s="112">
        <f t="shared" si="36"/>
        <v>0</v>
      </c>
      <c r="U66" s="112">
        <f t="shared" si="36"/>
        <v>0</v>
      </c>
      <c r="V66" s="112">
        <f t="shared" si="36"/>
        <v>0</v>
      </c>
      <c r="W66" s="112">
        <f t="shared" si="36"/>
        <v>0</v>
      </c>
      <c r="X66" s="112">
        <f t="shared" si="36"/>
        <v>0</v>
      </c>
      <c r="Y66" s="112">
        <f t="shared" si="36"/>
        <v>0</v>
      </c>
      <c r="Z66" s="112">
        <f t="shared" si="36"/>
        <v>0</v>
      </c>
      <c r="AA66" s="112">
        <f t="shared" si="36"/>
        <v>0</v>
      </c>
      <c r="AB66" s="112">
        <f t="shared" si="36"/>
        <v>0</v>
      </c>
      <c r="AC66" s="113">
        <f t="shared" ref="AC66:AC67" si="37">SUM(E66:AB66)</f>
        <v>0</v>
      </c>
      <c r="AD66" s="212"/>
    </row>
    <row r="67" spans="1:30" s="44" customFormat="1" ht="12.75">
      <c r="A67" s="45"/>
      <c r="B67" s="114" t="s">
        <v>52</v>
      </c>
      <c r="C67" s="115"/>
      <c r="D67" s="115"/>
      <c r="E67" s="116">
        <f t="shared" ref="E67:AB67" si="38">E43+E24</f>
        <v>0</v>
      </c>
      <c r="F67" s="116">
        <f t="shared" si="38"/>
        <v>0</v>
      </c>
      <c r="G67" s="116">
        <f t="shared" si="38"/>
        <v>0</v>
      </c>
      <c r="H67" s="116">
        <f t="shared" si="38"/>
        <v>0</v>
      </c>
      <c r="I67" s="116">
        <f t="shared" si="38"/>
        <v>0</v>
      </c>
      <c r="J67" s="116">
        <f t="shared" si="38"/>
        <v>0</v>
      </c>
      <c r="K67" s="116">
        <f t="shared" si="38"/>
        <v>0</v>
      </c>
      <c r="L67" s="116">
        <f t="shared" si="38"/>
        <v>0</v>
      </c>
      <c r="M67" s="116">
        <f t="shared" si="38"/>
        <v>0</v>
      </c>
      <c r="N67" s="116">
        <f t="shared" si="38"/>
        <v>0</v>
      </c>
      <c r="O67" s="116">
        <f t="shared" si="38"/>
        <v>0</v>
      </c>
      <c r="P67" s="116">
        <f t="shared" si="38"/>
        <v>0</v>
      </c>
      <c r="Q67" s="116">
        <f t="shared" si="38"/>
        <v>0</v>
      </c>
      <c r="R67" s="116">
        <f t="shared" si="38"/>
        <v>0</v>
      </c>
      <c r="S67" s="116">
        <f t="shared" si="38"/>
        <v>0</v>
      </c>
      <c r="T67" s="116">
        <f t="shared" si="38"/>
        <v>0</v>
      </c>
      <c r="U67" s="116">
        <f t="shared" si="38"/>
        <v>0</v>
      </c>
      <c r="V67" s="116">
        <f t="shared" si="38"/>
        <v>0</v>
      </c>
      <c r="W67" s="116">
        <f t="shared" si="38"/>
        <v>0</v>
      </c>
      <c r="X67" s="116">
        <f t="shared" si="38"/>
        <v>0</v>
      </c>
      <c r="Y67" s="116">
        <f t="shared" si="38"/>
        <v>0</v>
      </c>
      <c r="Z67" s="116">
        <f t="shared" si="38"/>
        <v>0</v>
      </c>
      <c r="AA67" s="116">
        <f t="shared" si="38"/>
        <v>0</v>
      </c>
      <c r="AB67" s="116">
        <f t="shared" si="38"/>
        <v>0</v>
      </c>
      <c r="AC67" s="117">
        <f t="shared" si="37"/>
        <v>0</v>
      </c>
      <c r="AD67" s="205"/>
    </row>
    <row r="68" spans="1:30" ht="12.75">
      <c r="A68" s="1"/>
      <c r="B68" s="114" t="s">
        <v>53</v>
      </c>
      <c r="C68" s="115"/>
      <c r="D68" s="115"/>
      <c r="E68" s="116">
        <f>E66+E67</f>
        <v>0</v>
      </c>
      <c r="F68" s="116">
        <f t="shared" ref="F68:AB68" si="39">F66+F67</f>
        <v>0</v>
      </c>
      <c r="G68" s="116">
        <f t="shared" si="39"/>
        <v>0</v>
      </c>
      <c r="H68" s="116">
        <f t="shared" si="39"/>
        <v>0</v>
      </c>
      <c r="I68" s="116">
        <f t="shared" si="39"/>
        <v>0</v>
      </c>
      <c r="J68" s="116">
        <f t="shared" si="39"/>
        <v>0</v>
      </c>
      <c r="K68" s="116">
        <f t="shared" si="39"/>
        <v>0</v>
      </c>
      <c r="L68" s="116">
        <f t="shared" si="39"/>
        <v>0</v>
      </c>
      <c r="M68" s="116">
        <f t="shared" si="39"/>
        <v>0</v>
      </c>
      <c r="N68" s="116">
        <f t="shared" si="39"/>
        <v>0</v>
      </c>
      <c r="O68" s="116">
        <f t="shared" si="39"/>
        <v>0</v>
      </c>
      <c r="P68" s="116">
        <f t="shared" si="39"/>
        <v>0</v>
      </c>
      <c r="Q68" s="116">
        <f t="shared" si="39"/>
        <v>0</v>
      </c>
      <c r="R68" s="116">
        <f t="shared" si="39"/>
        <v>0</v>
      </c>
      <c r="S68" s="116">
        <f t="shared" si="39"/>
        <v>0</v>
      </c>
      <c r="T68" s="116">
        <f t="shared" si="39"/>
        <v>0</v>
      </c>
      <c r="U68" s="116">
        <f t="shared" si="39"/>
        <v>0</v>
      </c>
      <c r="V68" s="116">
        <f t="shared" si="39"/>
        <v>0</v>
      </c>
      <c r="W68" s="116">
        <f t="shared" si="39"/>
        <v>0</v>
      </c>
      <c r="X68" s="116">
        <f t="shared" si="39"/>
        <v>0</v>
      </c>
      <c r="Y68" s="116">
        <f t="shared" si="39"/>
        <v>0</v>
      </c>
      <c r="Z68" s="116">
        <f t="shared" si="39"/>
        <v>0</v>
      </c>
      <c r="AA68" s="116">
        <f t="shared" si="39"/>
        <v>0</v>
      </c>
      <c r="AB68" s="116">
        <f t="shared" si="39"/>
        <v>0</v>
      </c>
      <c r="AC68" s="154">
        <f t="shared" si="34"/>
        <v>0</v>
      </c>
      <c r="AD68" s="205"/>
    </row>
    <row r="69" spans="1:30" ht="12.75">
      <c r="A69" s="1"/>
      <c r="B69" s="118" t="s">
        <v>58</v>
      </c>
      <c r="C69" s="119"/>
      <c r="D69" s="119"/>
      <c r="E69" s="120">
        <f>E68</f>
        <v>0</v>
      </c>
      <c r="F69" s="120">
        <f>E69+F68</f>
        <v>0</v>
      </c>
      <c r="G69" s="120">
        <f t="shared" ref="G69:AB69" si="40">F69+G68</f>
        <v>0</v>
      </c>
      <c r="H69" s="120">
        <f t="shared" si="40"/>
        <v>0</v>
      </c>
      <c r="I69" s="120">
        <f t="shared" si="40"/>
        <v>0</v>
      </c>
      <c r="J69" s="120">
        <f t="shared" si="40"/>
        <v>0</v>
      </c>
      <c r="K69" s="120">
        <f t="shared" si="40"/>
        <v>0</v>
      </c>
      <c r="L69" s="120">
        <f t="shared" si="40"/>
        <v>0</v>
      </c>
      <c r="M69" s="120">
        <f t="shared" si="40"/>
        <v>0</v>
      </c>
      <c r="N69" s="120">
        <f t="shared" si="40"/>
        <v>0</v>
      </c>
      <c r="O69" s="120">
        <f t="shared" si="40"/>
        <v>0</v>
      </c>
      <c r="P69" s="120">
        <f t="shared" si="40"/>
        <v>0</v>
      </c>
      <c r="Q69" s="120">
        <f t="shared" si="40"/>
        <v>0</v>
      </c>
      <c r="R69" s="120">
        <f t="shared" si="40"/>
        <v>0</v>
      </c>
      <c r="S69" s="120">
        <f t="shared" si="40"/>
        <v>0</v>
      </c>
      <c r="T69" s="120">
        <f t="shared" si="40"/>
        <v>0</v>
      </c>
      <c r="U69" s="120">
        <f t="shared" si="40"/>
        <v>0</v>
      </c>
      <c r="V69" s="120">
        <f t="shared" si="40"/>
        <v>0</v>
      </c>
      <c r="W69" s="120">
        <f t="shared" si="40"/>
        <v>0</v>
      </c>
      <c r="X69" s="120">
        <f t="shared" si="40"/>
        <v>0</v>
      </c>
      <c r="Y69" s="120">
        <f t="shared" si="40"/>
        <v>0</v>
      </c>
      <c r="Z69" s="120">
        <f t="shared" si="40"/>
        <v>0</v>
      </c>
      <c r="AA69" s="120">
        <f t="shared" si="40"/>
        <v>0</v>
      </c>
      <c r="AB69" s="120">
        <f t="shared" si="40"/>
        <v>0</v>
      </c>
      <c r="AC69" s="121"/>
      <c r="AD69" s="213"/>
    </row>
    <row r="70" spans="1:30" s="22" customFormat="1" ht="12.75">
      <c r="A70" s="24"/>
      <c r="B70" s="86"/>
      <c r="C70" s="95"/>
      <c r="D70" s="95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100"/>
      <c r="AD70" s="101"/>
    </row>
    <row r="71" spans="1:30" ht="12.75">
      <c r="A71" s="1"/>
      <c r="B71" s="96" t="s">
        <v>22</v>
      </c>
      <c r="C71" s="68"/>
      <c r="D71" s="68"/>
      <c r="E71" s="209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98"/>
    </row>
    <row r="72" spans="1:30" s="157" customFormat="1" ht="12.75">
      <c r="A72" s="45"/>
      <c r="B72" s="162" t="s">
        <v>65</v>
      </c>
      <c r="C72" s="159"/>
      <c r="D72" s="160">
        <v>0</v>
      </c>
      <c r="E72" s="172">
        <f>D72-E73</f>
        <v>0</v>
      </c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63">
        <v>0</v>
      </c>
    </row>
    <row r="73" spans="1:30" s="157" customFormat="1" ht="12.75">
      <c r="A73" s="45"/>
      <c r="B73" s="162" t="s">
        <v>64</v>
      </c>
      <c r="C73" s="158"/>
      <c r="D73" s="161">
        <v>0</v>
      </c>
      <c r="E73" s="165">
        <f>D72*D73</f>
        <v>0</v>
      </c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4"/>
    </row>
    <row r="74" spans="1:30" ht="12.75">
      <c r="A74" s="1"/>
      <c r="B74" s="138" t="s">
        <v>42</v>
      </c>
      <c r="C74" s="139" t="s">
        <v>23</v>
      </c>
      <c r="D74" s="140">
        <v>0</v>
      </c>
      <c r="E74" s="193">
        <f>D74-E75</f>
        <v>0</v>
      </c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74">
        <v>0</v>
      </c>
    </row>
    <row r="75" spans="1:30" s="124" customFormat="1" ht="12.75">
      <c r="A75" s="45"/>
      <c r="B75" s="203" t="s">
        <v>57</v>
      </c>
      <c r="C75" s="204"/>
      <c r="D75" s="141">
        <v>0</v>
      </c>
      <c r="E75" s="191">
        <f>D74*D75</f>
        <v>0</v>
      </c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75"/>
    </row>
    <row r="76" spans="1:30" ht="12.75">
      <c r="A76" s="3"/>
      <c r="B76" s="62" t="s">
        <v>60</v>
      </c>
      <c r="C76" s="137" t="s">
        <v>24</v>
      </c>
      <c r="D76" s="131">
        <v>0</v>
      </c>
      <c r="E76" s="192">
        <f>D76</f>
        <v>0</v>
      </c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205" t="s">
        <v>54</v>
      </c>
    </row>
    <row r="77" spans="1:30" ht="13.5" thickBot="1">
      <c r="A77" s="3"/>
      <c r="B77" s="143" t="s">
        <v>25</v>
      </c>
      <c r="C77" s="144"/>
      <c r="D77" s="144"/>
      <c r="E77" s="210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145">
        <f>D74+D76+D72</f>
        <v>0</v>
      </c>
      <c r="AD77" s="205"/>
    </row>
    <row r="78" spans="1:30" ht="20.100000000000001" customHeight="1" thickBot="1">
      <c r="A78" s="5"/>
      <c r="B78" s="197" t="s">
        <v>26</v>
      </c>
      <c r="C78" s="198"/>
      <c r="D78" s="146"/>
      <c r="E78" s="200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47">
        <f>AC77+AC68</f>
        <v>0</v>
      </c>
      <c r="AD78" s="148">
        <f>AD74+AD64+AD58+AD51+AD44+AD25</f>
        <v>0</v>
      </c>
    </row>
    <row r="79" spans="1:30" ht="12.7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30" ht="12.75">
      <c r="A80" s="1"/>
      <c r="B80" s="1"/>
      <c r="C80" s="1"/>
      <c r="D80" s="2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>
      <c r="A81" s="1"/>
      <c r="B81" s="199" t="s">
        <v>27</v>
      </c>
      <c r="C81" s="16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1" customHeight="1">
      <c r="A82" s="1"/>
      <c r="B82" s="4" t="s">
        <v>28</v>
      </c>
      <c r="C82" s="11" t="s">
        <v>29</v>
      </c>
      <c r="D82" s="12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>
      <c r="A83" s="1"/>
      <c r="B83" s="4" t="s">
        <v>30</v>
      </c>
      <c r="C83" s="12" t="s">
        <v>31</v>
      </c>
      <c r="D83" s="12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s="155" customFormat="1" ht="12.75">
      <c r="A84" s="45"/>
      <c r="B84" s="4" t="s">
        <v>63</v>
      </c>
      <c r="C84" s="12"/>
      <c r="D84" s="123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  <row r="85" spans="1:29" ht="12.75">
      <c r="A85" s="1"/>
      <c r="B85" s="6"/>
      <c r="C85" s="6"/>
      <c r="D85" s="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>
      <c r="A86" s="1"/>
      <c r="B86" s="167" t="s">
        <v>32</v>
      </c>
      <c r="C86" s="16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23.1" customHeight="1">
      <c r="A87" s="1"/>
      <c r="B87" s="196" t="s">
        <v>33</v>
      </c>
      <c r="C87" s="16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6.75" customHeight="1">
      <c r="A88" s="1"/>
      <c r="B88" s="7"/>
      <c r="C88" s="7"/>
      <c r="D88" s="2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>
      <c r="A89" s="1"/>
      <c r="B89" s="195" t="s">
        <v>56</v>
      </c>
      <c r="C89" s="16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>
      <c r="A90" s="1"/>
      <c r="B90" s="194" t="s">
        <v>69</v>
      </c>
      <c r="C90" s="16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>
      <c r="A91" s="1"/>
      <c r="B91" s="168"/>
      <c r="C91" s="16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6" customHeight="1">
      <c r="A92" s="1"/>
      <c r="B92" s="8"/>
      <c r="C92" s="8"/>
      <c r="D92" s="8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>
      <c r="A93" s="1"/>
      <c r="B93" s="167" t="s">
        <v>59</v>
      </c>
      <c r="C93" s="168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>
      <c r="A94" s="1"/>
      <c r="B94" s="194" t="s">
        <v>55</v>
      </c>
      <c r="C94" s="16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35.25" customHeight="1">
      <c r="A95" s="1"/>
      <c r="B95" s="168"/>
      <c r="C95" s="16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>
      <c r="A96" s="1"/>
      <c r="B96" s="6"/>
      <c r="C96" s="6"/>
      <c r="D96" s="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>
      <c r="A97" s="1"/>
      <c r="B97" s="167" t="s">
        <v>66</v>
      </c>
      <c r="C97" s="168"/>
      <c r="D97" s="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>
      <c r="A98" s="1"/>
      <c r="B98" s="169" t="s">
        <v>67</v>
      </c>
      <c r="C98" s="169"/>
      <c r="D98" s="2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>
      <c r="A99" s="1"/>
      <c r="B99" s="169"/>
      <c r="C99" s="169"/>
      <c r="D99" s="2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>
      <c r="A100" s="1"/>
      <c r="B100" s="1"/>
      <c r="C100" s="1"/>
      <c r="D100" s="2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>
      <c r="A101" s="1"/>
      <c r="B101" s="170"/>
      <c r="C101" s="171"/>
      <c r="D101" s="2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>
      <c r="A102" s="1"/>
      <c r="B102" s="1"/>
      <c r="C102" s="1"/>
      <c r="D102" s="2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>
      <c r="A103" s="1"/>
      <c r="B103" s="1"/>
      <c r="C103" s="1"/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>
      <c r="A104" s="1"/>
      <c r="B104" s="1"/>
      <c r="C104" s="1"/>
      <c r="D104" s="2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>
      <c r="A105" s="1"/>
      <c r="B105" s="1"/>
      <c r="C105" s="1"/>
      <c r="D105" s="2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>
      <c r="A106" s="1"/>
      <c r="B106" s="1"/>
      <c r="C106" s="1"/>
      <c r="D106" s="2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>
      <c r="A107" s="1"/>
      <c r="B107" s="1"/>
      <c r="C107" s="1"/>
      <c r="D107" s="2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>
      <c r="A108" s="1"/>
      <c r="B108" s="1"/>
      <c r="C108" s="1"/>
      <c r="D108" s="2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>
      <c r="A109" s="1"/>
      <c r="B109" s="1"/>
      <c r="C109" s="1"/>
      <c r="D109" s="2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>
      <c r="A110" s="1"/>
      <c r="B110" s="1"/>
      <c r="C110" s="1"/>
      <c r="D110" s="2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>
      <c r="A111" s="1"/>
      <c r="B111" s="1"/>
      <c r="C111" s="1"/>
      <c r="D111" s="2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>
      <c r="A112" s="1"/>
      <c r="B112" s="1"/>
      <c r="C112" s="1"/>
      <c r="D112" s="2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>
      <c r="A113" s="1"/>
      <c r="B113" s="1"/>
      <c r="C113" s="1"/>
      <c r="D113" s="2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>
      <c r="A114" s="1"/>
      <c r="B114" s="1"/>
      <c r="C114" s="1"/>
      <c r="D114" s="2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>
      <c r="A115" s="1"/>
      <c r="B115" s="1"/>
      <c r="C115" s="1"/>
      <c r="D115" s="2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>
      <c r="A116" s="1"/>
      <c r="B116" s="1"/>
      <c r="C116" s="1"/>
      <c r="D116" s="2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>
      <c r="A117" s="1"/>
      <c r="B117" s="1"/>
      <c r="C117" s="1"/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>
      <c r="A118" s="1"/>
      <c r="B118" s="1"/>
      <c r="C118" s="1"/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>
      <c r="A119" s="1"/>
      <c r="B119" s="1"/>
      <c r="C119" s="1"/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>
      <c r="A120" s="1"/>
      <c r="B120" s="1"/>
      <c r="C120" s="1"/>
      <c r="D120" s="2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>
      <c r="A121" s="1"/>
      <c r="B121" s="1"/>
      <c r="C121" s="1"/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>
      <c r="A122" s="1"/>
      <c r="B122" s="1"/>
      <c r="C122" s="1"/>
      <c r="D122" s="2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>
      <c r="A123" s="1"/>
      <c r="B123" s="1"/>
      <c r="C123" s="1"/>
      <c r="D123" s="2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>
      <c r="A124" s="1"/>
      <c r="B124" s="1"/>
      <c r="C124" s="1"/>
      <c r="D124" s="2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>
      <c r="A125" s="1"/>
      <c r="B125" s="1"/>
      <c r="C125" s="1"/>
      <c r="D125" s="2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>
      <c r="A126" s="1"/>
      <c r="B126" s="1"/>
      <c r="C126" s="1"/>
      <c r="D126" s="2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>
      <c r="A127" s="1"/>
      <c r="B127" s="1"/>
      <c r="C127" s="1"/>
      <c r="D127" s="2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>
      <c r="A128" s="1"/>
      <c r="B128" s="1"/>
      <c r="C128" s="1"/>
      <c r="D128" s="2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>
      <c r="A129" s="1"/>
      <c r="B129" s="1"/>
      <c r="C129" s="1"/>
      <c r="D129" s="2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>
      <c r="A130" s="1"/>
      <c r="B130" s="1"/>
      <c r="C130" s="1"/>
      <c r="D130" s="2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>
      <c r="A131" s="1"/>
      <c r="B131" s="1"/>
      <c r="C131" s="1"/>
      <c r="D131" s="2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>
      <c r="A132" s="1"/>
      <c r="B132" s="1"/>
      <c r="C132" s="1"/>
      <c r="D132" s="2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>
      <c r="A133" s="1"/>
      <c r="B133" s="1"/>
      <c r="C133" s="1"/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>
      <c r="A134" s="1"/>
      <c r="B134" s="1"/>
      <c r="C134" s="1"/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>
      <c r="A135" s="1"/>
      <c r="B135" s="1"/>
      <c r="C135" s="1"/>
      <c r="D135" s="2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>
      <c r="A136" s="1"/>
      <c r="B136" s="1"/>
      <c r="C136" s="1"/>
      <c r="D136" s="2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>
      <c r="A137" s="1"/>
      <c r="B137" s="1"/>
      <c r="C137" s="1"/>
      <c r="D137" s="2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>
      <c r="A138" s="1"/>
      <c r="B138" s="1"/>
      <c r="C138" s="1"/>
      <c r="D138" s="2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>
      <c r="A139" s="1"/>
      <c r="B139" s="1"/>
      <c r="C139" s="1"/>
      <c r="D139" s="2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>
      <c r="A140" s="1"/>
      <c r="B140" s="1"/>
      <c r="C140" s="1"/>
      <c r="D140" s="2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>
      <c r="A141" s="1"/>
      <c r="B141" s="1"/>
      <c r="C141" s="1"/>
      <c r="D141" s="2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>
      <c r="A142" s="1"/>
      <c r="B142" s="1"/>
      <c r="C142" s="1"/>
      <c r="D142" s="2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>
      <c r="A143" s="1"/>
      <c r="B143" s="1"/>
      <c r="C143" s="1"/>
      <c r="D143" s="2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>
      <c r="A144" s="1"/>
      <c r="B144" s="1"/>
      <c r="C144" s="1"/>
      <c r="D144" s="2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>
      <c r="A145" s="1"/>
      <c r="B145" s="1"/>
      <c r="C145" s="1"/>
      <c r="D145" s="2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>
      <c r="A146" s="1"/>
      <c r="B146" s="1"/>
      <c r="C146" s="1"/>
      <c r="D146" s="2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>
      <c r="A147" s="1"/>
      <c r="B147" s="1"/>
      <c r="C147" s="1"/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>
      <c r="A148" s="1"/>
      <c r="B148" s="1"/>
      <c r="C148" s="1"/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>
      <c r="A149" s="1"/>
      <c r="B149" s="1"/>
      <c r="C149" s="1"/>
      <c r="D149" s="2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>
      <c r="A150" s="1"/>
      <c r="B150" s="1"/>
      <c r="C150" s="1"/>
      <c r="D150" s="2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>
      <c r="A151" s="1"/>
      <c r="B151" s="1"/>
      <c r="C151" s="1"/>
      <c r="D151" s="2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>
      <c r="A152" s="1"/>
      <c r="B152" s="1"/>
      <c r="C152" s="1"/>
      <c r="D152" s="2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>
      <c r="A153" s="1"/>
      <c r="B153" s="1"/>
      <c r="C153" s="1"/>
      <c r="D153" s="2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>
      <c r="A154" s="1"/>
      <c r="B154" s="1"/>
      <c r="C154" s="1"/>
      <c r="D154" s="2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>
      <c r="A155" s="1"/>
      <c r="B155" s="1"/>
      <c r="C155" s="1"/>
      <c r="D155" s="2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>
      <c r="A156" s="1"/>
      <c r="B156" s="1"/>
      <c r="C156" s="1"/>
      <c r="D156" s="2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>
      <c r="A157" s="1"/>
      <c r="B157" s="1"/>
      <c r="C157" s="1"/>
      <c r="D157" s="2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>
      <c r="A158" s="1"/>
      <c r="B158" s="1"/>
      <c r="C158" s="1"/>
      <c r="D158" s="2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>
      <c r="A159" s="1"/>
      <c r="B159" s="1"/>
      <c r="C159" s="1"/>
      <c r="D159" s="2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>
      <c r="A160" s="1"/>
      <c r="B160" s="1"/>
      <c r="C160" s="1"/>
      <c r="D160" s="2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>
      <c r="A161" s="1"/>
      <c r="B161" s="1"/>
      <c r="C161" s="1"/>
      <c r="D161" s="2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>
      <c r="A162" s="1"/>
      <c r="B162" s="1"/>
      <c r="C162" s="1"/>
      <c r="D162" s="2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>
      <c r="A163" s="1"/>
      <c r="B163" s="1"/>
      <c r="C163" s="1"/>
      <c r="D163" s="2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>
      <c r="A164" s="1"/>
      <c r="B164" s="1"/>
      <c r="C164" s="1"/>
      <c r="D164" s="2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>
      <c r="A165" s="1"/>
      <c r="B165" s="1"/>
      <c r="C165" s="1"/>
      <c r="D165" s="2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>
      <c r="A166" s="1"/>
      <c r="B166" s="1"/>
      <c r="C166" s="1"/>
      <c r="D166" s="2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>
      <c r="A167" s="1"/>
      <c r="B167" s="1"/>
      <c r="C167" s="1"/>
      <c r="D167" s="2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>
      <c r="A168" s="1"/>
      <c r="B168" s="1"/>
      <c r="C168" s="1"/>
      <c r="D168" s="2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>
      <c r="A169" s="1"/>
      <c r="B169" s="1"/>
      <c r="C169" s="1"/>
      <c r="D169" s="2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>
      <c r="A170" s="1"/>
      <c r="B170" s="1"/>
      <c r="C170" s="1"/>
      <c r="D170" s="2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>
      <c r="A171" s="1"/>
      <c r="B171" s="1"/>
      <c r="C171" s="1"/>
      <c r="D171" s="2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>
      <c r="A172" s="1"/>
      <c r="B172" s="1"/>
      <c r="C172" s="1"/>
      <c r="D172" s="2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>
      <c r="A173" s="1"/>
      <c r="B173" s="1"/>
      <c r="C173" s="1"/>
      <c r="D173" s="2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>
      <c r="A174" s="1"/>
      <c r="B174" s="1"/>
      <c r="C174" s="1"/>
      <c r="D174" s="2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>
      <c r="A175" s="1"/>
      <c r="B175" s="1"/>
      <c r="C175" s="1"/>
      <c r="D175" s="2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>
      <c r="A176" s="1"/>
      <c r="B176" s="1"/>
      <c r="C176" s="1"/>
      <c r="D176" s="2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>
      <c r="A177" s="1"/>
      <c r="B177" s="1"/>
      <c r="C177" s="1"/>
      <c r="D177" s="2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>
      <c r="A178" s="1"/>
      <c r="B178" s="1"/>
      <c r="C178" s="1"/>
      <c r="D178" s="2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>
      <c r="A179" s="1"/>
      <c r="B179" s="1"/>
      <c r="C179" s="1"/>
      <c r="D179" s="2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>
      <c r="A180" s="1"/>
      <c r="B180" s="1"/>
      <c r="C180" s="1"/>
      <c r="D180" s="2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>
      <c r="A181" s="1"/>
      <c r="B181" s="1"/>
      <c r="C181" s="1"/>
      <c r="D181" s="2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>
      <c r="A182" s="1"/>
      <c r="B182" s="1"/>
      <c r="C182" s="1"/>
      <c r="D182" s="2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>
      <c r="A183" s="1"/>
      <c r="B183" s="1"/>
      <c r="C183" s="1"/>
      <c r="D183" s="2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>
      <c r="A184" s="1"/>
      <c r="B184" s="1"/>
      <c r="C184" s="1"/>
      <c r="D184" s="2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>
      <c r="A185" s="1"/>
      <c r="B185" s="1"/>
      <c r="C185" s="1"/>
      <c r="D185" s="2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>
      <c r="A186" s="1"/>
      <c r="B186" s="1"/>
      <c r="C186" s="1"/>
      <c r="D186" s="2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>
      <c r="A187" s="1"/>
      <c r="B187" s="1"/>
      <c r="C187" s="1"/>
      <c r="D187" s="2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>
      <c r="A188" s="1"/>
      <c r="B188" s="1"/>
      <c r="C188" s="1"/>
      <c r="D188" s="2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>
      <c r="A189" s="1"/>
      <c r="B189" s="1"/>
      <c r="C189" s="1"/>
      <c r="D189" s="2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>
      <c r="A190" s="1"/>
      <c r="B190" s="1"/>
      <c r="C190" s="1"/>
      <c r="D190" s="2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>
      <c r="A191" s="1"/>
      <c r="B191" s="1"/>
      <c r="C191" s="1"/>
      <c r="D191" s="2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>
      <c r="A192" s="1"/>
      <c r="B192" s="1"/>
      <c r="C192" s="1"/>
      <c r="D192" s="2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>
      <c r="A193" s="1"/>
      <c r="B193" s="1"/>
      <c r="C193" s="1"/>
      <c r="D193" s="2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>
      <c r="A194" s="1"/>
      <c r="B194" s="1"/>
      <c r="C194" s="1"/>
      <c r="D194" s="2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>
      <c r="A195" s="1"/>
      <c r="B195" s="1"/>
      <c r="C195" s="1"/>
      <c r="D195" s="2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>
      <c r="A196" s="1"/>
      <c r="B196" s="1"/>
      <c r="C196" s="1"/>
      <c r="D196" s="2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>
      <c r="A197" s="1"/>
      <c r="B197" s="1"/>
      <c r="C197" s="1"/>
      <c r="D197" s="2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>
      <c r="A198" s="1"/>
      <c r="B198" s="1"/>
      <c r="C198" s="1"/>
      <c r="D198" s="2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>
      <c r="A199" s="1"/>
      <c r="B199" s="1"/>
      <c r="C199" s="1"/>
      <c r="D199" s="2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>
      <c r="A200" s="1"/>
      <c r="B200" s="1"/>
      <c r="C200" s="1"/>
      <c r="D200" s="2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>
      <c r="A201" s="1"/>
      <c r="B201" s="1"/>
      <c r="C201" s="1"/>
      <c r="D201" s="2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>
      <c r="A202" s="1"/>
      <c r="B202" s="1"/>
      <c r="C202" s="1"/>
      <c r="D202" s="2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>
      <c r="A203" s="1"/>
      <c r="B203" s="1"/>
      <c r="C203" s="1"/>
      <c r="D203" s="2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>
      <c r="A204" s="1"/>
      <c r="B204" s="1"/>
      <c r="C204" s="1"/>
      <c r="D204" s="2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>
      <c r="A205" s="1"/>
      <c r="B205" s="1"/>
      <c r="C205" s="1"/>
      <c r="D205" s="2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>
      <c r="A206" s="1"/>
      <c r="B206" s="1"/>
      <c r="C206" s="1"/>
      <c r="D206" s="2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>
      <c r="A207" s="1"/>
      <c r="B207" s="1"/>
      <c r="C207" s="1"/>
      <c r="D207" s="2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>
      <c r="A208" s="1"/>
      <c r="B208" s="1"/>
      <c r="C208" s="1"/>
      <c r="D208" s="2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>
      <c r="A209" s="1"/>
      <c r="B209" s="1"/>
      <c r="C209" s="1"/>
      <c r="D209" s="2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>
      <c r="A210" s="1"/>
      <c r="B210" s="1"/>
      <c r="C210" s="1"/>
      <c r="D210" s="2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>
      <c r="A211" s="1"/>
      <c r="B211" s="1"/>
      <c r="C211" s="1"/>
      <c r="D211" s="2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>
      <c r="A212" s="1"/>
      <c r="B212" s="1"/>
      <c r="C212" s="1"/>
      <c r="D212" s="2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>
      <c r="A213" s="1"/>
      <c r="B213" s="1"/>
      <c r="C213" s="1"/>
      <c r="D213" s="2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>
      <c r="A214" s="1"/>
      <c r="B214" s="1"/>
      <c r="C214" s="1"/>
      <c r="D214" s="2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>
      <c r="A215" s="1"/>
      <c r="B215" s="1"/>
      <c r="C215" s="1"/>
      <c r="D215" s="2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>
      <c r="A216" s="1"/>
      <c r="B216" s="1"/>
      <c r="C216" s="1"/>
      <c r="D216" s="2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>
      <c r="A217" s="1"/>
      <c r="B217" s="1"/>
      <c r="C217" s="1"/>
      <c r="D217" s="2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>
      <c r="A218" s="1"/>
      <c r="B218" s="1"/>
      <c r="C218" s="1"/>
      <c r="D218" s="2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>
      <c r="A219" s="1"/>
      <c r="B219" s="1"/>
      <c r="C219" s="1"/>
      <c r="D219" s="2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>
      <c r="A220" s="1"/>
      <c r="B220" s="1"/>
      <c r="C220" s="1"/>
      <c r="D220" s="2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>
      <c r="A221" s="1"/>
      <c r="B221" s="1"/>
      <c r="C221" s="1"/>
      <c r="D221" s="2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>
      <c r="A222" s="1"/>
      <c r="B222" s="1"/>
      <c r="C222" s="1"/>
      <c r="D222" s="2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>
      <c r="A223" s="1"/>
      <c r="B223" s="1"/>
      <c r="C223" s="1"/>
      <c r="D223" s="2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>
      <c r="A224" s="1"/>
      <c r="B224" s="1"/>
      <c r="C224" s="1"/>
      <c r="D224" s="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>
      <c r="A225" s="1"/>
      <c r="B225" s="1"/>
      <c r="C225" s="1"/>
      <c r="D225" s="2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>
      <c r="A226" s="1"/>
      <c r="B226" s="1"/>
      <c r="C226" s="1"/>
      <c r="D226" s="2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>
      <c r="A227" s="1"/>
      <c r="B227" s="1"/>
      <c r="C227" s="1"/>
      <c r="D227" s="2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>
      <c r="A228" s="1"/>
      <c r="B228" s="1"/>
      <c r="C228" s="1"/>
      <c r="D228" s="2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>
      <c r="A229" s="1"/>
      <c r="B229" s="1"/>
      <c r="C229" s="1"/>
      <c r="D229" s="2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>
      <c r="A230" s="1"/>
      <c r="B230" s="1"/>
      <c r="C230" s="1"/>
      <c r="D230" s="2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>
      <c r="A231" s="1"/>
      <c r="B231" s="1"/>
      <c r="C231" s="1"/>
      <c r="D231" s="2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>
      <c r="A232" s="1"/>
      <c r="B232" s="1"/>
      <c r="C232" s="1"/>
      <c r="D232" s="2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>
      <c r="A233" s="1"/>
      <c r="B233" s="1"/>
      <c r="C233" s="1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>
      <c r="A234" s="1"/>
      <c r="B234" s="1"/>
      <c r="C234" s="1"/>
      <c r="D234" s="2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>
      <c r="A235" s="1"/>
      <c r="B235" s="1"/>
      <c r="C235" s="1"/>
      <c r="D235" s="2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>
      <c r="A236" s="1"/>
      <c r="B236" s="1"/>
      <c r="C236" s="1"/>
      <c r="D236" s="2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>
      <c r="A237" s="1"/>
      <c r="B237" s="1"/>
      <c r="C237" s="1"/>
      <c r="D237" s="2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>
      <c r="A238" s="1"/>
      <c r="B238" s="1"/>
      <c r="C238" s="1"/>
      <c r="D238" s="2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>
      <c r="A239" s="1"/>
      <c r="B239" s="1"/>
      <c r="C239" s="1"/>
      <c r="D239" s="2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>
      <c r="A240" s="1"/>
      <c r="B240" s="1"/>
      <c r="C240" s="1"/>
      <c r="D240" s="2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>
      <c r="A241" s="1"/>
      <c r="B241" s="1"/>
      <c r="C241" s="1"/>
      <c r="D241" s="2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>
      <c r="A242" s="1"/>
      <c r="B242" s="1"/>
      <c r="C242" s="1"/>
      <c r="D242" s="2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>
      <c r="A243" s="1"/>
      <c r="B243" s="1"/>
      <c r="C243" s="1"/>
      <c r="D243" s="2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>
      <c r="A244" s="1"/>
      <c r="B244" s="1"/>
      <c r="C244" s="1"/>
      <c r="D244" s="2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>
      <c r="A245" s="1"/>
      <c r="B245" s="1"/>
      <c r="C245" s="1"/>
      <c r="D245" s="2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>
      <c r="A246" s="1"/>
      <c r="B246" s="1"/>
      <c r="C246" s="1"/>
      <c r="D246" s="2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>
      <c r="A247" s="1"/>
      <c r="B247" s="1"/>
      <c r="C247" s="1"/>
      <c r="D247" s="2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>
      <c r="A248" s="1"/>
      <c r="B248" s="1"/>
      <c r="C248" s="1"/>
      <c r="D248" s="2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>
      <c r="A249" s="1"/>
      <c r="B249" s="1"/>
      <c r="C249" s="1"/>
      <c r="D249" s="2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>
      <c r="A250" s="1"/>
      <c r="B250" s="1"/>
      <c r="C250" s="1"/>
      <c r="D250" s="2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>
      <c r="A251" s="1"/>
      <c r="B251" s="1"/>
      <c r="C251" s="1"/>
      <c r="D251" s="2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>
      <c r="A252" s="1"/>
      <c r="B252" s="1"/>
      <c r="C252" s="1"/>
      <c r="D252" s="2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>
      <c r="A253" s="1"/>
      <c r="B253" s="1"/>
      <c r="C253" s="1"/>
      <c r="D253" s="2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>
      <c r="A254" s="1"/>
      <c r="B254" s="1"/>
      <c r="C254" s="1"/>
      <c r="D254" s="2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>
      <c r="A255" s="1"/>
      <c r="B255" s="1"/>
      <c r="C255" s="1"/>
      <c r="D255" s="2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>
      <c r="A256" s="1"/>
      <c r="B256" s="1"/>
      <c r="C256" s="1"/>
      <c r="D256" s="2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>
      <c r="A257" s="1"/>
      <c r="B257" s="1"/>
      <c r="C257" s="1"/>
      <c r="D257" s="2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>
      <c r="A258" s="1"/>
      <c r="B258" s="1"/>
      <c r="C258" s="1"/>
      <c r="D258" s="2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>
      <c r="A259" s="1"/>
      <c r="B259" s="1"/>
      <c r="C259" s="1"/>
      <c r="D259" s="2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>
      <c r="A260" s="1"/>
      <c r="B260" s="1"/>
      <c r="C260" s="1"/>
      <c r="D260" s="2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>
      <c r="A261" s="1"/>
      <c r="B261" s="1"/>
      <c r="C261" s="1"/>
      <c r="D261" s="2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>
      <c r="A262" s="1"/>
      <c r="B262" s="1"/>
      <c r="C262" s="1"/>
      <c r="D262" s="2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>
      <c r="A263" s="1"/>
      <c r="B263" s="1"/>
      <c r="C263" s="1"/>
      <c r="D263" s="2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>
      <c r="A264" s="1"/>
      <c r="B264" s="1"/>
      <c r="C264" s="1"/>
      <c r="D264" s="2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>
      <c r="A265" s="1"/>
      <c r="B265" s="1"/>
      <c r="C265" s="1"/>
      <c r="D265" s="2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>
      <c r="A266" s="1"/>
      <c r="B266" s="1"/>
      <c r="C266" s="1"/>
      <c r="D266" s="2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>
      <c r="A267" s="1"/>
      <c r="B267" s="1"/>
      <c r="C267" s="1"/>
      <c r="D267" s="2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>
      <c r="A268" s="1"/>
      <c r="B268" s="1"/>
      <c r="C268" s="1"/>
      <c r="D268" s="2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>
      <c r="A269" s="1"/>
      <c r="B269" s="1"/>
      <c r="C269" s="1"/>
      <c r="D269" s="2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>
      <c r="A270" s="1"/>
      <c r="B270" s="1"/>
      <c r="C270" s="1"/>
      <c r="D270" s="2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>
      <c r="A271" s="1"/>
      <c r="B271" s="1"/>
      <c r="C271" s="1"/>
      <c r="D271" s="2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>
      <c r="A272" s="1"/>
      <c r="B272" s="1"/>
      <c r="C272" s="1"/>
      <c r="D272" s="2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>
      <c r="A273" s="1"/>
      <c r="B273" s="1"/>
      <c r="C273" s="1"/>
      <c r="D273" s="2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>
      <c r="A274" s="1"/>
      <c r="B274" s="1"/>
      <c r="C274" s="1"/>
      <c r="D274" s="2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>
      <c r="A275" s="1"/>
      <c r="B275" s="1"/>
      <c r="C275" s="1"/>
      <c r="D275" s="2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>
      <c r="A276" s="1"/>
      <c r="B276" s="1"/>
      <c r="C276" s="1"/>
      <c r="D276" s="2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>
      <c r="A277" s="1"/>
      <c r="B277" s="1"/>
      <c r="C277" s="1"/>
      <c r="D277" s="2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>
      <c r="A278" s="1"/>
      <c r="B278" s="1"/>
      <c r="C278" s="1"/>
      <c r="D278" s="2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>
      <c r="A279" s="1"/>
      <c r="B279" s="1"/>
      <c r="C279" s="1"/>
      <c r="D279" s="2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>
      <c r="A280" s="1"/>
      <c r="B280" s="1"/>
      <c r="C280" s="1"/>
      <c r="D280" s="2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>
      <c r="A281" s="1"/>
      <c r="B281" s="1"/>
      <c r="C281" s="1"/>
      <c r="D281" s="2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>
      <c r="A282" s="1"/>
      <c r="B282" s="1"/>
      <c r="C282" s="1"/>
      <c r="D282" s="2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>
      <c r="A283" s="1"/>
      <c r="B283" s="1"/>
      <c r="C283" s="1"/>
      <c r="D283" s="2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>
      <c r="A284" s="1"/>
      <c r="B284" s="1"/>
      <c r="C284" s="1"/>
      <c r="D284" s="2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>
      <c r="A285" s="1"/>
      <c r="B285" s="1"/>
      <c r="C285" s="1"/>
      <c r="D285" s="2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>
      <c r="A286" s="1"/>
      <c r="B286" s="1"/>
      <c r="C286" s="1"/>
      <c r="D286" s="2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>
      <c r="A287" s="1"/>
      <c r="B287" s="1"/>
      <c r="C287" s="1"/>
      <c r="D287" s="2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>
      <c r="A288" s="1"/>
      <c r="B288" s="1"/>
      <c r="C288" s="1"/>
      <c r="D288" s="2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>
      <c r="A289" s="1"/>
      <c r="B289" s="1"/>
      <c r="C289" s="1"/>
      <c r="D289" s="2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>
      <c r="A290" s="1"/>
      <c r="B290" s="1"/>
      <c r="C290" s="1"/>
      <c r="D290" s="2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>
      <c r="A291" s="1"/>
      <c r="B291" s="1"/>
      <c r="C291" s="1"/>
      <c r="D291" s="2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>
      <c r="A292" s="1"/>
      <c r="B292" s="1"/>
      <c r="C292" s="1"/>
      <c r="D292" s="2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>
      <c r="A293" s="1"/>
      <c r="B293" s="1"/>
      <c r="C293" s="1"/>
      <c r="D293" s="2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>
      <c r="A294" s="1"/>
      <c r="B294" s="1"/>
      <c r="C294" s="1"/>
      <c r="D294" s="2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>
      <c r="A295" s="1"/>
      <c r="B295" s="1"/>
      <c r="C295" s="1"/>
      <c r="D295" s="2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>
      <c r="A296" s="1"/>
      <c r="B296" s="1"/>
      <c r="C296" s="1"/>
      <c r="D296" s="2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>
      <c r="A297" s="1"/>
      <c r="B297" s="1"/>
      <c r="C297" s="1"/>
      <c r="D297" s="2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>
      <c r="A298" s="1"/>
      <c r="B298" s="1"/>
      <c r="C298" s="1"/>
      <c r="D298" s="2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>
      <c r="A299" s="1"/>
      <c r="B299" s="1"/>
      <c r="C299" s="1"/>
      <c r="D299" s="2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>
      <c r="A300" s="1"/>
      <c r="B300" s="1"/>
      <c r="C300" s="1"/>
      <c r="D300" s="2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>
      <c r="A301" s="1"/>
      <c r="B301" s="1"/>
      <c r="C301" s="1"/>
      <c r="D301" s="2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>
      <c r="A302" s="1"/>
      <c r="B302" s="1"/>
      <c r="C302" s="1"/>
      <c r="D302" s="2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>
      <c r="A303" s="1"/>
      <c r="B303" s="1"/>
      <c r="C303" s="1"/>
      <c r="D303" s="2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>
      <c r="A304" s="1"/>
      <c r="B304" s="1"/>
      <c r="C304" s="1"/>
      <c r="D304" s="2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>
      <c r="A305" s="1"/>
      <c r="B305" s="1"/>
      <c r="C305" s="1"/>
      <c r="D305" s="2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>
      <c r="A306" s="1"/>
      <c r="B306" s="1"/>
      <c r="C306" s="1"/>
      <c r="D306" s="2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>
      <c r="A307" s="1"/>
      <c r="B307" s="1"/>
      <c r="C307" s="1"/>
      <c r="D307" s="2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>
      <c r="A308" s="1"/>
      <c r="B308" s="1"/>
      <c r="C308" s="1"/>
      <c r="D308" s="2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>
      <c r="A309" s="1"/>
      <c r="B309" s="1"/>
      <c r="C309" s="1"/>
      <c r="D309" s="2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>
      <c r="A310" s="1"/>
      <c r="B310" s="1"/>
      <c r="C310" s="1"/>
      <c r="D310" s="2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>
      <c r="A311" s="1"/>
      <c r="B311" s="1"/>
      <c r="C311" s="1"/>
      <c r="D311" s="2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>
      <c r="A312" s="1"/>
      <c r="B312" s="1"/>
      <c r="C312" s="1"/>
      <c r="D312" s="2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>
      <c r="A313" s="1"/>
      <c r="B313" s="1"/>
      <c r="C313" s="1"/>
      <c r="D313" s="2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>
      <c r="A314" s="1"/>
      <c r="B314" s="1"/>
      <c r="C314" s="1"/>
      <c r="D314" s="2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>
      <c r="A315" s="1"/>
      <c r="B315" s="1"/>
      <c r="C315" s="1"/>
      <c r="D315" s="2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>
      <c r="A316" s="1"/>
      <c r="B316" s="1"/>
      <c r="C316" s="1"/>
      <c r="D316" s="2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>
      <c r="A317" s="1"/>
      <c r="B317" s="1"/>
      <c r="C317" s="1"/>
      <c r="D317" s="2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>
      <c r="A318" s="1"/>
      <c r="B318" s="1"/>
      <c r="C318" s="1"/>
      <c r="D318" s="2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>
      <c r="A319" s="1"/>
      <c r="B319" s="1"/>
      <c r="C319" s="1"/>
      <c r="D319" s="2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>
      <c r="A320" s="1"/>
      <c r="B320" s="1"/>
      <c r="C320" s="1"/>
      <c r="D320" s="2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>
      <c r="A321" s="1"/>
      <c r="B321" s="1"/>
      <c r="C321" s="1"/>
      <c r="D321" s="2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>
      <c r="A322" s="1"/>
      <c r="B322" s="1"/>
      <c r="C322" s="1"/>
      <c r="D322" s="2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>
      <c r="A323" s="1"/>
      <c r="B323" s="1"/>
      <c r="C323" s="1"/>
      <c r="D323" s="2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>
      <c r="A324" s="1"/>
      <c r="B324" s="1"/>
      <c r="C324" s="1"/>
      <c r="D324" s="2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>
      <c r="A325" s="1"/>
      <c r="B325" s="1"/>
      <c r="C325" s="1"/>
      <c r="D325" s="2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>
      <c r="A326" s="1"/>
      <c r="B326" s="1"/>
      <c r="C326" s="1"/>
      <c r="D326" s="2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>
      <c r="A327" s="1"/>
      <c r="B327" s="1"/>
      <c r="C327" s="1"/>
      <c r="D327" s="2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>
      <c r="A328" s="1"/>
      <c r="B328" s="1"/>
      <c r="C328" s="1"/>
      <c r="D328" s="2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>
      <c r="A329" s="1"/>
      <c r="B329" s="1"/>
      <c r="C329" s="1"/>
      <c r="D329" s="2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>
      <c r="A330" s="1"/>
      <c r="B330" s="1"/>
      <c r="C330" s="1"/>
      <c r="D330" s="2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>
      <c r="A331" s="1"/>
      <c r="B331" s="1"/>
      <c r="C331" s="1"/>
      <c r="D331" s="2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>
      <c r="A332" s="1"/>
      <c r="B332" s="1"/>
      <c r="C332" s="1"/>
      <c r="D332" s="2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>
      <c r="A333" s="1"/>
      <c r="B333" s="1"/>
      <c r="C333" s="1"/>
      <c r="D333" s="2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>
      <c r="A334" s="1"/>
      <c r="B334" s="1"/>
      <c r="C334" s="1"/>
      <c r="D334" s="2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>
      <c r="A335" s="1"/>
      <c r="B335" s="1"/>
      <c r="C335" s="1"/>
      <c r="D335" s="2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>
      <c r="A336" s="1"/>
      <c r="B336" s="1"/>
      <c r="C336" s="1"/>
      <c r="D336" s="2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>
      <c r="A337" s="1"/>
      <c r="B337" s="1"/>
      <c r="C337" s="1"/>
      <c r="D337" s="2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>
      <c r="A338" s="1"/>
      <c r="B338" s="1"/>
      <c r="C338" s="1"/>
      <c r="D338" s="2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>
      <c r="A339" s="1"/>
      <c r="B339" s="1"/>
      <c r="C339" s="1"/>
      <c r="D339" s="2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>
      <c r="A340" s="1"/>
      <c r="B340" s="1"/>
      <c r="C340" s="1"/>
      <c r="D340" s="2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>
      <c r="A341" s="1"/>
      <c r="B341" s="1"/>
      <c r="C341" s="1"/>
      <c r="D341" s="2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>
      <c r="A342" s="1"/>
      <c r="B342" s="1"/>
      <c r="C342" s="1"/>
      <c r="D342" s="2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>
      <c r="A343" s="1"/>
      <c r="B343" s="1"/>
      <c r="C343" s="1"/>
      <c r="D343" s="2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>
      <c r="A344" s="1"/>
      <c r="B344" s="1"/>
      <c r="C344" s="1"/>
      <c r="D344" s="2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>
      <c r="A345" s="1"/>
      <c r="B345" s="1"/>
      <c r="C345" s="1"/>
      <c r="D345" s="2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>
      <c r="A346" s="1"/>
      <c r="B346" s="1"/>
      <c r="C346" s="1"/>
      <c r="D346" s="2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>
      <c r="A347" s="1"/>
      <c r="B347" s="1"/>
      <c r="C347" s="1"/>
      <c r="D347" s="2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>
      <c r="A348" s="1"/>
      <c r="B348" s="1"/>
      <c r="C348" s="1"/>
      <c r="D348" s="2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>
      <c r="A349" s="1"/>
      <c r="B349" s="1"/>
      <c r="C349" s="1"/>
      <c r="D349" s="2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>
      <c r="A350" s="1"/>
      <c r="B350" s="1"/>
      <c r="C350" s="1"/>
      <c r="D350" s="2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>
      <c r="A351" s="1"/>
      <c r="B351" s="1"/>
      <c r="C351" s="1"/>
      <c r="D351" s="2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>
      <c r="A352" s="1"/>
      <c r="B352" s="1"/>
      <c r="C352" s="1"/>
      <c r="D352" s="2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>
      <c r="A353" s="1"/>
      <c r="B353" s="1"/>
      <c r="C353" s="1"/>
      <c r="D353" s="2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>
      <c r="A354" s="1"/>
      <c r="B354" s="1"/>
      <c r="C354" s="1"/>
      <c r="D354" s="2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>
      <c r="A355" s="1"/>
      <c r="B355" s="1"/>
      <c r="C355" s="1"/>
      <c r="D355" s="2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>
      <c r="A356" s="1"/>
      <c r="B356" s="1"/>
      <c r="C356" s="1"/>
      <c r="D356" s="2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>
      <c r="A357" s="1"/>
      <c r="B357" s="1"/>
      <c r="C357" s="1"/>
      <c r="D357" s="2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>
      <c r="A358" s="1"/>
      <c r="B358" s="1"/>
      <c r="C358" s="1"/>
      <c r="D358" s="2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>
      <c r="A359" s="1"/>
      <c r="B359" s="1"/>
      <c r="C359" s="1"/>
      <c r="D359" s="2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>
      <c r="A360" s="1"/>
      <c r="B360" s="1"/>
      <c r="C360" s="1"/>
      <c r="D360" s="2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>
      <c r="A361" s="1"/>
      <c r="B361" s="1"/>
      <c r="C361" s="1"/>
      <c r="D361" s="2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>
      <c r="A362" s="1"/>
      <c r="B362" s="1"/>
      <c r="C362" s="1"/>
      <c r="D362" s="2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>
      <c r="A363" s="1"/>
      <c r="B363" s="1"/>
      <c r="C363" s="1"/>
      <c r="D363" s="2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>
      <c r="A364" s="1"/>
      <c r="B364" s="1"/>
      <c r="C364" s="1"/>
      <c r="D364" s="2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>
      <c r="A365" s="1"/>
      <c r="B365" s="1"/>
      <c r="C365" s="1"/>
      <c r="D365" s="2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>
      <c r="A366" s="1"/>
      <c r="B366" s="1"/>
      <c r="C366" s="1"/>
      <c r="D366" s="2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>
      <c r="A367" s="1"/>
      <c r="B367" s="1"/>
      <c r="C367" s="1"/>
      <c r="D367" s="2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>
      <c r="A368" s="1"/>
      <c r="B368" s="1"/>
      <c r="C368" s="1"/>
      <c r="D368" s="2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>
      <c r="A369" s="1"/>
      <c r="B369" s="1"/>
      <c r="C369" s="1"/>
      <c r="D369" s="2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>
      <c r="A370" s="1"/>
      <c r="B370" s="1"/>
      <c r="C370" s="1"/>
      <c r="D370" s="2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>
      <c r="A371" s="1"/>
      <c r="B371" s="1"/>
      <c r="C371" s="1"/>
      <c r="D371" s="2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>
      <c r="A372" s="1"/>
      <c r="B372" s="1"/>
      <c r="C372" s="1"/>
      <c r="D372" s="2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>
      <c r="A373" s="1"/>
      <c r="B373" s="1"/>
      <c r="C373" s="1"/>
      <c r="D373" s="2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>
      <c r="A374" s="1"/>
      <c r="B374" s="1"/>
      <c r="C374" s="1"/>
      <c r="D374" s="2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>
      <c r="A375" s="1"/>
      <c r="B375" s="1"/>
      <c r="C375" s="1"/>
      <c r="D375" s="2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>
      <c r="A376" s="1"/>
      <c r="B376" s="1"/>
      <c r="C376" s="1"/>
      <c r="D376" s="2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>
      <c r="A377" s="1"/>
      <c r="B377" s="1"/>
      <c r="C377" s="1"/>
      <c r="D377" s="2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>
      <c r="A378" s="1"/>
      <c r="B378" s="1"/>
      <c r="C378" s="1"/>
      <c r="D378" s="2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>
      <c r="A379" s="1"/>
      <c r="B379" s="1"/>
      <c r="C379" s="1"/>
      <c r="D379" s="2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>
      <c r="A380" s="1"/>
      <c r="B380" s="1"/>
      <c r="C380" s="1"/>
      <c r="D380" s="2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>
      <c r="A381" s="1"/>
      <c r="B381" s="1"/>
      <c r="C381" s="1"/>
      <c r="D381" s="2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>
      <c r="A382" s="1"/>
      <c r="B382" s="1"/>
      <c r="C382" s="1"/>
      <c r="D382" s="2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>
      <c r="A383" s="1"/>
      <c r="B383" s="1"/>
      <c r="C383" s="1"/>
      <c r="D383" s="2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>
      <c r="A384" s="1"/>
      <c r="B384" s="1"/>
      <c r="C384" s="1"/>
      <c r="D384" s="2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>
      <c r="A385" s="1"/>
      <c r="B385" s="1"/>
      <c r="C385" s="1"/>
      <c r="D385" s="2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>
      <c r="A386" s="1"/>
      <c r="B386" s="1"/>
      <c r="C386" s="1"/>
      <c r="D386" s="2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>
      <c r="A387" s="1"/>
      <c r="B387" s="1"/>
      <c r="C387" s="1"/>
      <c r="D387" s="2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>
      <c r="A388" s="1"/>
      <c r="B388" s="1"/>
      <c r="C388" s="1"/>
      <c r="D388" s="2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>
      <c r="A389" s="1"/>
      <c r="B389" s="1"/>
      <c r="C389" s="1"/>
      <c r="D389" s="2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>
      <c r="A390" s="1"/>
      <c r="B390" s="1"/>
      <c r="C390" s="1"/>
      <c r="D390" s="2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>
      <c r="A391" s="1"/>
      <c r="B391" s="1"/>
      <c r="C391" s="1"/>
      <c r="D391" s="2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>
      <c r="A392" s="1"/>
      <c r="B392" s="1"/>
      <c r="C392" s="1"/>
      <c r="D392" s="2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>
      <c r="A393" s="1"/>
      <c r="B393" s="1"/>
      <c r="C393" s="1"/>
      <c r="D393" s="2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>
      <c r="A394" s="1"/>
      <c r="B394" s="1"/>
      <c r="C394" s="1"/>
      <c r="D394" s="2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>
      <c r="A395" s="1"/>
      <c r="B395" s="1"/>
      <c r="C395" s="1"/>
      <c r="D395" s="2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>
      <c r="A396" s="1"/>
      <c r="B396" s="1"/>
      <c r="C396" s="1"/>
      <c r="D396" s="2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>
      <c r="A397" s="1"/>
      <c r="B397" s="1"/>
      <c r="C397" s="1"/>
      <c r="D397" s="2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>
      <c r="A398" s="1"/>
      <c r="B398" s="1"/>
      <c r="C398" s="1"/>
      <c r="D398" s="2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>
      <c r="A399" s="1"/>
      <c r="B399" s="1"/>
      <c r="C399" s="1"/>
      <c r="D399" s="2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>
      <c r="A400" s="1"/>
      <c r="B400" s="1"/>
      <c r="C400" s="1"/>
      <c r="D400" s="2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>
      <c r="A401" s="1"/>
      <c r="B401" s="1"/>
      <c r="C401" s="1"/>
      <c r="D401" s="2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>
      <c r="A402" s="1"/>
      <c r="B402" s="1"/>
      <c r="C402" s="1"/>
      <c r="D402" s="2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>
      <c r="A403" s="1"/>
      <c r="B403" s="1"/>
      <c r="C403" s="1"/>
      <c r="D403" s="2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>
      <c r="A404" s="1"/>
      <c r="B404" s="1"/>
      <c r="C404" s="1"/>
      <c r="D404" s="2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>
      <c r="A405" s="1"/>
      <c r="B405" s="1"/>
      <c r="C405" s="1"/>
      <c r="D405" s="2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>
      <c r="A406" s="1"/>
      <c r="B406" s="1"/>
      <c r="C406" s="1"/>
      <c r="D406" s="2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>
      <c r="A407" s="1"/>
      <c r="B407" s="1"/>
      <c r="C407" s="1"/>
      <c r="D407" s="2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>
      <c r="A408" s="1"/>
      <c r="B408" s="1"/>
      <c r="C408" s="1"/>
      <c r="D408" s="2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>
      <c r="A409" s="1"/>
      <c r="B409" s="1"/>
      <c r="C409" s="1"/>
      <c r="D409" s="2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>
      <c r="A410" s="1"/>
      <c r="B410" s="1"/>
      <c r="C410" s="1"/>
      <c r="D410" s="2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>
      <c r="A411" s="1"/>
      <c r="B411" s="1"/>
      <c r="C411" s="1"/>
      <c r="D411" s="2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>
      <c r="A412" s="1"/>
      <c r="B412" s="1"/>
      <c r="C412" s="1"/>
      <c r="D412" s="2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>
      <c r="A413" s="1"/>
      <c r="B413" s="1"/>
      <c r="C413" s="1"/>
      <c r="D413" s="2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>
      <c r="A414" s="1"/>
      <c r="B414" s="1"/>
      <c r="C414" s="1"/>
      <c r="D414" s="2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>
      <c r="A415" s="1"/>
      <c r="B415" s="1"/>
      <c r="C415" s="1"/>
      <c r="D415" s="2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>
      <c r="A416" s="1"/>
      <c r="B416" s="1"/>
      <c r="C416" s="1"/>
      <c r="D416" s="2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>
      <c r="A417" s="1"/>
      <c r="B417" s="1"/>
      <c r="C417" s="1"/>
      <c r="D417" s="2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>
      <c r="A418" s="1"/>
      <c r="B418" s="1"/>
      <c r="C418" s="1"/>
      <c r="D418" s="2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>
      <c r="A419" s="1"/>
      <c r="B419" s="1"/>
      <c r="C419" s="1"/>
      <c r="D419" s="2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>
      <c r="A420" s="1"/>
      <c r="B420" s="1"/>
      <c r="C420" s="1"/>
      <c r="D420" s="2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>
      <c r="A421" s="1"/>
      <c r="B421" s="1"/>
      <c r="C421" s="1"/>
      <c r="D421" s="2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>
      <c r="A422" s="1"/>
      <c r="B422" s="1"/>
      <c r="C422" s="1"/>
      <c r="D422" s="2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>
      <c r="A423" s="1"/>
      <c r="B423" s="1"/>
      <c r="C423" s="1"/>
      <c r="D423" s="2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>
      <c r="A424" s="1"/>
      <c r="B424" s="1"/>
      <c r="C424" s="1"/>
      <c r="D424" s="2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>
      <c r="A425" s="1"/>
      <c r="B425" s="1"/>
      <c r="C425" s="1"/>
      <c r="D425" s="2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>
      <c r="A426" s="1"/>
      <c r="B426" s="1"/>
      <c r="C426" s="1"/>
      <c r="D426" s="2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>
      <c r="A427" s="1"/>
      <c r="B427" s="1"/>
      <c r="C427" s="1"/>
      <c r="D427" s="2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>
      <c r="A428" s="1"/>
      <c r="B428" s="1"/>
      <c r="C428" s="1"/>
      <c r="D428" s="2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>
      <c r="A429" s="1"/>
      <c r="B429" s="1"/>
      <c r="C429" s="1"/>
      <c r="D429" s="2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>
      <c r="A430" s="1"/>
      <c r="B430" s="1"/>
      <c r="C430" s="1"/>
      <c r="D430" s="2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>
      <c r="A431" s="1"/>
      <c r="B431" s="1"/>
      <c r="C431" s="1"/>
      <c r="D431" s="2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>
      <c r="A432" s="1"/>
      <c r="B432" s="1"/>
      <c r="C432" s="1"/>
      <c r="D432" s="2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>
      <c r="A433" s="1"/>
      <c r="B433" s="1"/>
      <c r="C433" s="1"/>
      <c r="D433" s="2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>
      <c r="A434" s="1"/>
      <c r="B434" s="1"/>
      <c r="C434" s="1"/>
      <c r="D434" s="2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>
      <c r="A435" s="1"/>
      <c r="B435" s="1"/>
      <c r="C435" s="1"/>
      <c r="D435" s="2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>
      <c r="A436" s="1"/>
      <c r="B436" s="1"/>
      <c r="C436" s="1"/>
      <c r="D436" s="2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>
      <c r="A437" s="1"/>
      <c r="B437" s="1"/>
      <c r="C437" s="1"/>
      <c r="D437" s="2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>
      <c r="A438" s="1"/>
      <c r="B438" s="1"/>
      <c r="C438" s="1"/>
      <c r="D438" s="2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>
      <c r="A439" s="1"/>
      <c r="B439" s="1"/>
      <c r="C439" s="1"/>
      <c r="D439" s="2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>
      <c r="A440" s="1"/>
      <c r="B440" s="1"/>
      <c r="C440" s="1"/>
      <c r="D440" s="2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>
      <c r="A441" s="1"/>
      <c r="B441" s="1"/>
      <c r="C441" s="1"/>
      <c r="D441" s="2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>
      <c r="A442" s="1"/>
      <c r="B442" s="1"/>
      <c r="C442" s="1"/>
      <c r="D442" s="2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>
      <c r="A443" s="1"/>
      <c r="B443" s="1"/>
      <c r="C443" s="1"/>
      <c r="D443" s="2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>
      <c r="A444" s="1"/>
      <c r="B444" s="1"/>
      <c r="C444" s="1"/>
      <c r="D444" s="2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>
      <c r="A445" s="1"/>
      <c r="B445" s="1"/>
      <c r="C445" s="1"/>
      <c r="D445" s="2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>
      <c r="A446" s="1"/>
      <c r="B446" s="1"/>
      <c r="C446" s="1"/>
      <c r="D446" s="2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>
      <c r="A447" s="1"/>
      <c r="B447" s="1"/>
      <c r="C447" s="1"/>
      <c r="D447" s="2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>
      <c r="A448" s="1"/>
      <c r="B448" s="1"/>
      <c r="C448" s="1"/>
      <c r="D448" s="2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>
      <c r="A449" s="1"/>
      <c r="B449" s="1"/>
      <c r="C449" s="1"/>
      <c r="D449" s="2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>
      <c r="A450" s="1"/>
      <c r="B450" s="1"/>
      <c r="C450" s="1"/>
      <c r="D450" s="2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>
      <c r="A451" s="1"/>
      <c r="B451" s="1"/>
      <c r="C451" s="1"/>
      <c r="D451" s="2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>
      <c r="A452" s="1"/>
      <c r="B452" s="1"/>
      <c r="C452" s="1"/>
      <c r="D452" s="2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>
      <c r="A453" s="1"/>
      <c r="B453" s="1"/>
      <c r="C453" s="1"/>
      <c r="D453" s="2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>
      <c r="A454" s="1"/>
      <c r="B454" s="1"/>
      <c r="C454" s="1"/>
      <c r="D454" s="2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>
      <c r="A455" s="1"/>
      <c r="B455" s="1"/>
      <c r="C455" s="1"/>
      <c r="D455" s="2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>
      <c r="A456" s="1"/>
      <c r="B456" s="1"/>
      <c r="C456" s="1"/>
      <c r="D456" s="2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>
      <c r="A457" s="1"/>
      <c r="B457" s="1"/>
      <c r="C457" s="1"/>
      <c r="D457" s="2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>
      <c r="A458" s="1"/>
      <c r="B458" s="1"/>
      <c r="C458" s="1"/>
      <c r="D458" s="2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>
      <c r="A459" s="1"/>
      <c r="B459" s="1"/>
      <c r="C459" s="1"/>
      <c r="D459" s="2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>
      <c r="A460" s="1"/>
      <c r="B460" s="1"/>
      <c r="C460" s="1"/>
      <c r="D460" s="2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>
      <c r="A461" s="1"/>
      <c r="B461" s="1"/>
      <c r="C461" s="1"/>
      <c r="D461" s="2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>
      <c r="A462" s="1"/>
      <c r="B462" s="1"/>
      <c r="C462" s="1"/>
      <c r="D462" s="2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>
      <c r="A463" s="1"/>
      <c r="B463" s="1"/>
      <c r="C463" s="1"/>
      <c r="D463" s="2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>
      <c r="A464" s="1"/>
      <c r="B464" s="1"/>
      <c r="C464" s="1"/>
      <c r="D464" s="2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>
      <c r="A465" s="1"/>
      <c r="B465" s="1"/>
      <c r="C465" s="1"/>
      <c r="D465" s="2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>
      <c r="A466" s="1"/>
      <c r="B466" s="1"/>
      <c r="C466" s="1"/>
      <c r="D466" s="2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>
      <c r="A467" s="1"/>
      <c r="B467" s="1"/>
      <c r="C467" s="1"/>
      <c r="D467" s="2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>
      <c r="A468" s="1"/>
      <c r="B468" s="1"/>
      <c r="C468" s="1"/>
      <c r="D468" s="2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>
      <c r="A469" s="1"/>
      <c r="B469" s="1"/>
      <c r="C469" s="1"/>
      <c r="D469" s="2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>
      <c r="A470" s="1"/>
      <c r="B470" s="1"/>
      <c r="C470" s="1"/>
      <c r="D470" s="2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>
      <c r="A471" s="1"/>
      <c r="B471" s="1"/>
      <c r="C471" s="1"/>
      <c r="D471" s="2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>
      <c r="A472" s="1"/>
      <c r="B472" s="1"/>
      <c r="C472" s="1"/>
      <c r="D472" s="2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>
      <c r="A473" s="1"/>
      <c r="B473" s="1"/>
      <c r="C473" s="1"/>
      <c r="D473" s="2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>
      <c r="A474" s="1"/>
      <c r="B474" s="1"/>
      <c r="C474" s="1"/>
      <c r="D474" s="2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>
      <c r="A475" s="1"/>
      <c r="B475" s="1"/>
      <c r="C475" s="1"/>
      <c r="D475" s="2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>
      <c r="A476" s="1"/>
      <c r="B476" s="1"/>
      <c r="C476" s="1"/>
      <c r="D476" s="2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>
      <c r="A477" s="1"/>
      <c r="B477" s="1"/>
      <c r="C477" s="1"/>
      <c r="D477" s="2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>
      <c r="A478" s="1"/>
      <c r="B478" s="1"/>
      <c r="C478" s="1"/>
      <c r="D478" s="2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>
      <c r="A479" s="1"/>
      <c r="B479" s="1"/>
      <c r="C479" s="1"/>
      <c r="D479" s="2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>
      <c r="A480" s="1"/>
      <c r="B480" s="1"/>
      <c r="C480" s="1"/>
      <c r="D480" s="2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>
      <c r="A481" s="1"/>
      <c r="B481" s="1"/>
      <c r="C481" s="1"/>
      <c r="D481" s="2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>
      <c r="A482" s="1"/>
      <c r="B482" s="1"/>
      <c r="C482" s="1"/>
      <c r="D482" s="2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>
      <c r="A483" s="1"/>
      <c r="B483" s="1"/>
      <c r="C483" s="1"/>
      <c r="D483" s="2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>
      <c r="A484" s="1"/>
      <c r="B484" s="1"/>
      <c r="C484" s="1"/>
      <c r="D484" s="2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>
      <c r="A485" s="1"/>
      <c r="B485" s="1"/>
      <c r="C485" s="1"/>
      <c r="D485" s="2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>
      <c r="A486" s="1"/>
      <c r="B486" s="1"/>
      <c r="C486" s="1"/>
      <c r="D486" s="2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>
      <c r="A487" s="1"/>
      <c r="B487" s="1"/>
      <c r="C487" s="1"/>
      <c r="D487" s="2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>
      <c r="A488" s="1"/>
      <c r="B488" s="1"/>
      <c r="C488" s="1"/>
      <c r="D488" s="2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>
      <c r="A489" s="1"/>
      <c r="B489" s="1"/>
      <c r="C489" s="1"/>
      <c r="D489" s="2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>
      <c r="A490" s="1"/>
      <c r="B490" s="1"/>
      <c r="C490" s="1"/>
      <c r="D490" s="2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>
      <c r="A491" s="1"/>
      <c r="B491" s="1"/>
      <c r="C491" s="1"/>
      <c r="D491" s="2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>
      <c r="A492" s="1"/>
      <c r="B492" s="1"/>
      <c r="C492" s="1"/>
      <c r="D492" s="2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>
      <c r="A493" s="1"/>
      <c r="B493" s="1"/>
      <c r="C493" s="1"/>
      <c r="D493" s="2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>
      <c r="A494" s="1"/>
      <c r="B494" s="1"/>
      <c r="C494" s="1"/>
      <c r="D494" s="2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>
      <c r="A495" s="1"/>
      <c r="B495" s="1"/>
      <c r="C495" s="1"/>
      <c r="D495" s="2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>
      <c r="A496" s="1"/>
      <c r="B496" s="1"/>
      <c r="C496" s="1"/>
      <c r="D496" s="2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>
      <c r="A497" s="1"/>
      <c r="B497" s="1"/>
      <c r="C497" s="1"/>
      <c r="D497" s="2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>
      <c r="A498" s="1"/>
      <c r="B498" s="1"/>
      <c r="C498" s="1"/>
      <c r="D498" s="2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>
      <c r="A499" s="1"/>
      <c r="B499" s="1"/>
      <c r="C499" s="1"/>
      <c r="D499" s="2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>
      <c r="A500" s="1"/>
      <c r="B500" s="1"/>
      <c r="C500" s="1"/>
      <c r="D500" s="2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>
      <c r="A501" s="1"/>
      <c r="B501" s="1"/>
      <c r="C501" s="1"/>
      <c r="D501" s="2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>
      <c r="A502" s="1"/>
      <c r="B502" s="1"/>
      <c r="C502" s="1"/>
      <c r="D502" s="2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>
      <c r="A503" s="1"/>
      <c r="B503" s="1"/>
      <c r="C503" s="1"/>
      <c r="D503" s="2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>
      <c r="A504" s="1"/>
      <c r="B504" s="1"/>
      <c r="C504" s="1"/>
      <c r="D504" s="2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>
      <c r="A505" s="1"/>
      <c r="B505" s="1"/>
      <c r="C505" s="1"/>
      <c r="D505" s="2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>
      <c r="A506" s="1"/>
      <c r="B506" s="1"/>
      <c r="C506" s="1"/>
      <c r="D506" s="2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>
      <c r="A507" s="1"/>
      <c r="B507" s="1"/>
      <c r="C507" s="1"/>
      <c r="D507" s="2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>
      <c r="A508" s="1"/>
      <c r="B508" s="1"/>
      <c r="C508" s="1"/>
      <c r="D508" s="2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>
      <c r="A509" s="1"/>
      <c r="B509" s="1"/>
      <c r="C509" s="1"/>
      <c r="D509" s="2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>
      <c r="A510" s="1"/>
      <c r="B510" s="1"/>
      <c r="C510" s="1"/>
      <c r="D510" s="2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>
      <c r="A511" s="1"/>
      <c r="B511" s="1"/>
      <c r="C511" s="1"/>
      <c r="D511" s="2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>
      <c r="A512" s="1"/>
      <c r="B512" s="1"/>
      <c r="C512" s="1"/>
      <c r="D512" s="2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>
      <c r="A513" s="1"/>
      <c r="B513" s="1"/>
      <c r="C513" s="1"/>
      <c r="D513" s="2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>
      <c r="A514" s="1"/>
      <c r="B514" s="1"/>
      <c r="C514" s="1"/>
      <c r="D514" s="2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>
      <c r="A515" s="1"/>
      <c r="B515" s="1"/>
      <c r="C515" s="1"/>
      <c r="D515" s="2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>
      <c r="A516" s="1"/>
      <c r="B516" s="1"/>
      <c r="C516" s="1"/>
      <c r="D516" s="2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>
      <c r="A517" s="1"/>
      <c r="B517" s="1"/>
      <c r="C517" s="1"/>
      <c r="D517" s="2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>
      <c r="A518" s="1"/>
      <c r="B518" s="1"/>
      <c r="C518" s="1"/>
      <c r="D518" s="2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>
      <c r="A519" s="1"/>
      <c r="B519" s="1"/>
      <c r="C519" s="1"/>
      <c r="D519" s="2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>
      <c r="A520" s="1"/>
      <c r="B520" s="1"/>
      <c r="C520" s="1"/>
      <c r="D520" s="2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>
      <c r="A521" s="1"/>
      <c r="B521" s="1"/>
      <c r="C521" s="1"/>
      <c r="D521" s="2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>
      <c r="A522" s="1"/>
      <c r="B522" s="1"/>
      <c r="C522" s="1"/>
      <c r="D522" s="2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>
      <c r="A523" s="1"/>
      <c r="B523" s="1"/>
      <c r="C523" s="1"/>
      <c r="D523" s="2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>
      <c r="A524" s="1"/>
      <c r="B524" s="1"/>
      <c r="C524" s="1"/>
      <c r="D524" s="2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>
      <c r="A525" s="1"/>
      <c r="B525" s="1"/>
      <c r="C525" s="1"/>
      <c r="D525" s="2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>
      <c r="A526" s="1"/>
      <c r="B526" s="1"/>
      <c r="C526" s="1"/>
      <c r="D526" s="2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>
      <c r="A527" s="1"/>
      <c r="B527" s="1"/>
      <c r="C527" s="1"/>
      <c r="D527" s="2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>
      <c r="A528" s="1"/>
      <c r="B528" s="1"/>
      <c r="C528" s="1"/>
      <c r="D528" s="2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>
      <c r="A529" s="1"/>
      <c r="B529" s="1"/>
      <c r="C529" s="1"/>
      <c r="D529" s="2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>
      <c r="A530" s="1"/>
      <c r="B530" s="1"/>
      <c r="C530" s="1"/>
      <c r="D530" s="2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>
      <c r="A531" s="1"/>
      <c r="B531" s="1"/>
      <c r="C531" s="1"/>
      <c r="D531" s="2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>
      <c r="A532" s="1"/>
      <c r="B532" s="1"/>
      <c r="C532" s="1"/>
      <c r="D532" s="2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>
      <c r="A533" s="1"/>
      <c r="B533" s="1"/>
      <c r="C533" s="1"/>
      <c r="D533" s="2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>
      <c r="A534" s="1"/>
      <c r="B534" s="1"/>
      <c r="C534" s="1"/>
      <c r="D534" s="2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>
      <c r="A535" s="1"/>
      <c r="B535" s="1"/>
      <c r="C535" s="1"/>
      <c r="D535" s="2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>
      <c r="A536" s="1"/>
      <c r="B536" s="1"/>
      <c r="C536" s="1"/>
      <c r="D536" s="2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>
      <c r="A537" s="1"/>
      <c r="B537" s="1"/>
      <c r="C537" s="1"/>
      <c r="D537" s="2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>
      <c r="A538" s="1"/>
      <c r="B538" s="1"/>
      <c r="C538" s="1"/>
      <c r="D538" s="2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>
      <c r="A539" s="1"/>
      <c r="B539" s="1"/>
      <c r="C539" s="1"/>
      <c r="D539" s="2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>
      <c r="A540" s="1"/>
      <c r="B540" s="1"/>
      <c r="C540" s="1"/>
      <c r="D540" s="2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>
      <c r="A541" s="1"/>
      <c r="B541" s="1"/>
      <c r="C541" s="1"/>
      <c r="D541" s="2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>
      <c r="A542" s="1"/>
      <c r="B542" s="1"/>
      <c r="C542" s="1"/>
      <c r="D542" s="2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>
      <c r="A543" s="1"/>
      <c r="B543" s="1"/>
      <c r="C543" s="1"/>
      <c r="D543" s="2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>
      <c r="A544" s="1"/>
      <c r="B544" s="1"/>
      <c r="C544" s="1"/>
      <c r="D544" s="2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>
      <c r="A545" s="1"/>
      <c r="B545" s="1"/>
      <c r="C545" s="1"/>
      <c r="D545" s="2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>
      <c r="A546" s="1"/>
      <c r="B546" s="1"/>
      <c r="C546" s="1"/>
      <c r="D546" s="2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>
      <c r="A547" s="1"/>
      <c r="B547" s="1"/>
      <c r="C547" s="1"/>
      <c r="D547" s="2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>
      <c r="A548" s="1"/>
      <c r="B548" s="1"/>
      <c r="C548" s="1"/>
      <c r="D548" s="2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>
      <c r="A549" s="1"/>
      <c r="B549" s="1"/>
      <c r="C549" s="1"/>
      <c r="D549" s="2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>
      <c r="A550" s="1"/>
      <c r="B550" s="1"/>
      <c r="C550" s="1"/>
      <c r="D550" s="2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>
      <c r="A551" s="1"/>
      <c r="B551" s="1"/>
      <c r="C551" s="1"/>
      <c r="D551" s="2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>
      <c r="A552" s="1"/>
      <c r="B552" s="1"/>
      <c r="C552" s="1"/>
      <c r="D552" s="2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>
      <c r="A553" s="1"/>
      <c r="B553" s="1"/>
      <c r="C553" s="1"/>
      <c r="D553" s="2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>
      <c r="A554" s="1"/>
      <c r="B554" s="1"/>
      <c r="C554" s="1"/>
      <c r="D554" s="2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>
      <c r="A555" s="1"/>
      <c r="B555" s="1"/>
      <c r="C555" s="1"/>
      <c r="D555" s="2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>
      <c r="A556" s="1"/>
      <c r="B556" s="1"/>
      <c r="C556" s="1"/>
      <c r="D556" s="2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>
      <c r="A557" s="1"/>
      <c r="B557" s="1"/>
      <c r="C557" s="1"/>
      <c r="D557" s="2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>
      <c r="A558" s="1"/>
      <c r="B558" s="1"/>
      <c r="C558" s="1"/>
      <c r="D558" s="2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>
      <c r="A559" s="1"/>
      <c r="B559" s="1"/>
      <c r="C559" s="1"/>
      <c r="D559" s="2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>
      <c r="A560" s="1"/>
      <c r="B560" s="1"/>
      <c r="C560" s="1"/>
      <c r="D560" s="2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>
      <c r="A561" s="1"/>
      <c r="B561" s="1"/>
      <c r="C561" s="1"/>
      <c r="D561" s="2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>
      <c r="A562" s="1"/>
      <c r="B562" s="1"/>
      <c r="C562" s="1"/>
      <c r="D562" s="2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>
      <c r="A563" s="1"/>
      <c r="B563" s="1"/>
      <c r="C563" s="1"/>
      <c r="D563" s="2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>
      <c r="A564" s="1"/>
      <c r="B564" s="1"/>
      <c r="C564" s="1"/>
      <c r="D564" s="2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>
      <c r="A565" s="1"/>
      <c r="B565" s="1"/>
      <c r="C565" s="1"/>
      <c r="D565" s="2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>
      <c r="A566" s="1"/>
      <c r="B566" s="1"/>
      <c r="C566" s="1"/>
      <c r="D566" s="2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>
      <c r="A567" s="1"/>
      <c r="B567" s="1"/>
      <c r="C567" s="1"/>
      <c r="D567" s="2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>
      <c r="A568" s="1"/>
      <c r="B568" s="1"/>
      <c r="C568" s="1"/>
      <c r="D568" s="2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>
      <c r="A569" s="1"/>
      <c r="B569" s="1"/>
      <c r="C569" s="1"/>
      <c r="D569" s="2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>
      <c r="A570" s="1"/>
      <c r="B570" s="1"/>
      <c r="C570" s="1"/>
      <c r="D570" s="2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>
      <c r="A571" s="1"/>
      <c r="B571" s="1"/>
      <c r="C571" s="1"/>
      <c r="D571" s="2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>
      <c r="A572" s="1"/>
      <c r="B572" s="1"/>
      <c r="C572" s="1"/>
      <c r="D572" s="2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>
      <c r="A573" s="1"/>
      <c r="B573" s="1"/>
      <c r="C573" s="1"/>
      <c r="D573" s="2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>
      <c r="A574" s="1"/>
      <c r="B574" s="1"/>
      <c r="C574" s="1"/>
      <c r="D574" s="2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>
      <c r="A575" s="1"/>
      <c r="B575" s="1"/>
      <c r="C575" s="1"/>
      <c r="D575" s="2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>
      <c r="A576" s="1"/>
      <c r="B576" s="1"/>
      <c r="C576" s="1"/>
      <c r="D576" s="2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>
      <c r="A577" s="1"/>
      <c r="B577" s="1"/>
      <c r="C577" s="1"/>
      <c r="D577" s="2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>
      <c r="A578" s="1"/>
      <c r="B578" s="1"/>
      <c r="C578" s="1"/>
      <c r="D578" s="2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>
      <c r="A579" s="1"/>
      <c r="B579" s="1"/>
      <c r="C579" s="1"/>
      <c r="D579" s="2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>
      <c r="A580" s="1"/>
      <c r="B580" s="1"/>
      <c r="C580" s="1"/>
      <c r="D580" s="2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>
      <c r="A581" s="1"/>
      <c r="B581" s="1"/>
      <c r="C581" s="1"/>
      <c r="D581" s="2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>
      <c r="A582" s="1"/>
      <c r="B582" s="1"/>
      <c r="C582" s="1"/>
      <c r="D582" s="2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>
      <c r="A583" s="1"/>
      <c r="B583" s="1"/>
      <c r="C583" s="1"/>
      <c r="D583" s="2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>
      <c r="A584" s="1"/>
      <c r="B584" s="1"/>
      <c r="C584" s="1"/>
      <c r="D584" s="2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>
      <c r="A585" s="1"/>
      <c r="B585" s="1"/>
      <c r="C585" s="1"/>
      <c r="D585" s="2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>
      <c r="A586" s="1"/>
      <c r="B586" s="1"/>
      <c r="C586" s="1"/>
      <c r="D586" s="2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>
      <c r="A587" s="1"/>
      <c r="B587" s="1"/>
      <c r="C587" s="1"/>
      <c r="D587" s="2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>
      <c r="A588" s="1"/>
      <c r="B588" s="1"/>
      <c r="C588" s="1"/>
      <c r="D588" s="2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>
      <c r="A589" s="1"/>
      <c r="B589" s="1"/>
      <c r="C589" s="1"/>
      <c r="D589" s="2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>
      <c r="A590" s="1"/>
      <c r="B590" s="1"/>
      <c r="C590" s="1"/>
      <c r="D590" s="2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>
      <c r="A591" s="1"/>
      <c r="B591" s="1"/>
      <c r="C591" s="1"/>
      <c r="D591" s="2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>
      <c r="A592" s="1"/>
      <c r="B592" s="1"/>
      <c r="C592" s="1"/>
      <c r="D592" s="2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>
      <c r="A593" s="1"/>
      <c r="B593" s="1"/>
      <c r="C593" s="1"/>
      <c r="D593" s="2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>
      <c r="A594" s="1"/>
      <c r="B594" s="1"/>
      <c r="C594" s="1"/>
      <c r="D594" s="2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>
      <c r="A595" s="1"/>
      <c r="B595" s="1"/>
      <c r="C595" s="1"/>
      <c r="D595" s="2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>
      <c r="A596" s="1"/>
      <c r="B596" s="1"/>
      <c r="C596" s="1"/>
      <c r="D596" s="2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>
      <c r="A597" s="1"/>
      <c r="B597" s="1"/>
      <c r="C597" s="1"/>
      <c r="D597" s="2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>
      <c r="A598" s="1"/>
      <c r="B598" s="1"/>
      <c r="C598" s="1"/>
      <c r="D598" s="2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>
      <c r="A599" s="1"/>
      <c r="B599" s="1"/>
      <c r="C599" s="1"/>
      <c r="D599" s="2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>
      <c r="A600" s="1"/>
      <c r="B600" s="1"/>
      <c r="C600" s="1"/>
      <c r="D600" s="2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>
      <c r="A601" s="1"/>
      <c r="B601" s="1"/>
      <c r="C601" s="1"/>
      <c r="D601" s="2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>
      <c r="A602" s="1"/>
      <c r="B602" s="1"/>
      <c r="C602" s="1"/>
      <c r="D602" s="2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>
      <c r="A603" s="1"/>
      <c r="B603" s="1"/>
      <c r="C603" s="1"/>
      <c r="D603" s="2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>
      <c r="A604" s="1"/>
      <c r="B604" s="1"/>
      <c r="C604" s="1"/>
      <c r="D604" s="2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>
      <c r="A605" s="1"/>
      <c r="B605" s="1"/>
      <c r="C605" s="1"/>
      <c r="D605" s="2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>
      <c r="A606" s="1"/>
      <c r="B606" s="1"/>
      <c r="C606" s="1"/>
      <c r="D606" s="2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>
      <c r="A607" s="1"/>
      <c r="B607" s="1"/>
      <c r="C607" s="1"/>
      <c r="D607" s="2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>
      <c r="A608" s="1"/>
      <c r="B608" s="1"/>
      <c r="C608" s="1"/>
      <c r="D608" s="2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>
      <c r="A609" s="1"/>
      <c r="B609" s="1"/>
      <c r="C609" s="1"/>
      <c r="D609" s="2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>
      <c r="A610" s="1"/>
      <c r="B610" s="1"/>
      <c r="C610" s="1"/>
      <c r="D610" s="2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>
      <c r="A611" s="1"/>
      <c r="B611" s="1"/>
      <c r="C611" s="1"/>
      <c r="D611" s="2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>
      <c r="A612" s="1"/>
      <c r="B612" s="1"/>
      <c r="C612" s="1"/>
      <c r="D612" s="2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>
      <c r="A613" s="1"/>
      <c r="B613" s="1"/>
      <c r="C613" s="1"/>
      <c r="D613" s="2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>
      <c r="A614" s="1"/>
      <c r="B614" s="1"/>
      <c r="C614" s="1"/>
      <c r="D614" s="2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>
      <c r="A615" s="1"/>
      <c r="B615" s="1"/>
      <c r="C615" s="1"/>
      <c r="D615" s="2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>
      <c r="A616" s="1"/>
      <c r="B616" s="1"/>
      <c r="C616" s="1"/>
      <c r="D616" s="2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>
      <c r="A617" s="1"/>
      <c r="B617" s="1"/>
      <c r="C617" s="1"/>
      <c r="D617" s="2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>
      <c r="A618" s="1"/>
      <c r="B618" s="1"/>
      <c r="C618" s="1"/>
      <c r="D618" s="2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>
      <c r="A619" s="1"/>
      <c r="B619" s="1"/>
      <c r="C619" s="1"/>
      <c r="D619" s="2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>
      <c r="A620" s="1"/>
      <c r="B620" s="1"/>
      <c r="C620" s="1"/>
      <c r="D620" s="2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>
      <c r="A621" s="1"/>
      <c r="B621" s="1"/>
      <c r="C621" s="1"/>
      <c r="D621" s="2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>
      <c r="A622" s="1"/>
      <c r="B622" s="1"/>
      <c r="C622" s="1"/>
      <c r="D622" s="2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>
      <c r="A623" s="1"/>
      <c r="B623" s="1"/>
      <c r="C623" s="1"/>
      <c r="D623" s="2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>
      <c r="A624" s="1"/>
      <c r="B624" s="1"/>
      <c r="C624" s="1"/>
      <c r="D624" s="2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>
      <c r="A625" s="1"/>
      <c r="B625" s="1"/>
      <c r="C625" s="1"/>
      <c r="D625" s="2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>
      <c r="A626" s="1"/>
      <c r="B626" s="1"/>
      <c r="C626" s="1"/>
      <c r="D626" s="2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>
      <c r="A627" s="1"/>
      <c r="B627" s="1"/>
      <c r="C627" s="1"/>
      <c r="D627" s="2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>
      <c r="A628" s="1"/>
      <c r="B628" s="1"/>
      <c r="C628" s="1"/>
      <c r="D628" s="2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>
      <c r="A629" s="1"/>
      <c r="B629" s="1"/>
      <c r="C629" s="1"/>
      <c r="D629" s="2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>
      <c r="A630" s="1"/>
      <c r="B630" s="1"/>
      <c r="C630" s="1"/>
      <c r="D630" s="2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>
      <c r="A631" s="1"/>
      <c r="B631" s="1"/>
      <c r="C631" s="1"/>
      <c r="D631" s="2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>
      <c r="A632" s="1"/>
      <c r="B632" s="1"/>
      <c r="C632" s="1"/>
      <c r="D632" s="2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>
      <c r="A633" s="1"/>
      <c r="B633" s="1"/>
      <c r="C633" s="1"/>
      <c r="D633" s="2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>
      <c r="A634" s="1"/>
      <c r="B634" s="1"/>
      <c r="C634" s="1"/>
      <c r="D634" s="2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>
      <c r="A635" s="1"/>
      <c r="B635" s="1"/>
      <c r="C635" s="1"/>
      <c r="D635" s="2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>
      <c r="A636" s="1"/>
      <c r="B636" s="1"/>
      <c r="C636" s="1"/>
      <c r="D636" s="2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>
      <c r="A637" s="1"/>
      <c r="B637" s="1"/>
      <c r="C637" s="1"/>
      <c r="D637" s="2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>
      <c r="A638" s="1"/>
      <c r="B638" s="1"/>
      <c r="C638" s="1"/>
      <c r="D638" s="2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>
      <c r="A639" s="1"/>
      <c r="B639" s="1"/>
      <c r="C639" s="1"/>
      <c r="D639" s="2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>
      <c r="A640" s="1"/>
      <c r="B640" s="1"/>
      <c r="C640" s="1"/>
      <c r="D640" s="2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>
      <c r="A641" s="1"/>
      <c r="B641" s="1"/>
      <c r="C641" s="1"/>
      <c r="D641" s="2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>
      <c r="A642" s="1"/>
      <c r="B642" s="1"/>
      <c r="C642" s="1"/>
      <c r="D642" s="2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>
      <c r="A643" s="1"/>
      <c r="B643" s="1"/>
      <c r="C643" s="1"/>
      <c r="D643" s="2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>
      <c r="A644" s="1"/>
      <c r="B644" s="1"/>
      <c r="C644" s="1"/>
      <c r="D644" s="2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>
      <c r="A645" s="1"/>
      <c r="B645" s="1"/>
      <c r="C645" s="1"/>
      <c r="D645" s="2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>
      <c r="A646" s="1"/>
      <c r="B646" s="1"/>
      <c r="C646" s="1"/>
      <c r="D646" s="2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>
      <c r="A647" s="1"/>
      <c r="B647" s="1"/>
      <c r="C647" s="1"/>
      <c r="D647" s="2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>
      <c r="A648" s="1"/>
      <c r="B648" s="1"/>
      <c r="C648" s="1"/>
      <c r="D648" s="2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>
      <c r="A649" s="1"/>
      <c r="B649" s="1"/>
      <c r="C649" s="1"/>
      <c r="D649" s="2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>
      <c r="A650" s="1"/>
      <c r="B650" s="1"/>
      <c r="C650" s="1"/>
      <c r="D650" s="2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>
      <c r="A651" s="1"/>
      <c r="B651" s="1"/>
      <c r="C651" s="1"/>
      <c r="D651" s="2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>
      <c r="A652" s="1"/>
      <c r="B652" s="1"/>
      <c r="C652" s="1"/>
      <c r="D652" s="2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>
      <c r="A653" s="1"/>
      <c r="B653" s="1"/>
      <c r="C653" s="1"/>
      <c r="D653" s="2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>
      <c r="A654" s="1"/>
      <c r="B654" s="1"/>
      <c r="C654" s="1"/>
      <c r="D654" s="2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>
      <c r="A655" s="1"/>
      <c r="B655" s="1"/>
      <c r="C655" s="1"/>
      <c r="D655" s="2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>
      <c r="A656" s="1"/>
      <c r="B656" s="1"/>
      <c r="C656" s="1"/>
      <c r="D656" s="2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>
      <c r="A657" s="1"/>
      <c r="B657" s="1"/>
      <c r="C657" s="1"/>
      <c r="D657" s="2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>
      <c r="A658" s="1"/>
      <c r="B658" s="1"/>
      <c r="C658" s="1"/>
      <c r="D658" s="2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>
      <c r="A659" s="1"/>
      <c r="B659" s="1"/>
      <c r="C659" s="1"/>
      <c r="D659" s="2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>
      <c r="A660" s="1"/>
      <c r="B660" s="1"/>
      <c r="C660" s="1"/>
      <c r="D660" s="2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>
      <c r="A661" s="1"/>
      <c r="B661" s="1"/>
      <c r="C661" s="1"/>
      <c r="D661" s="2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>
      <c r="A662" s="1"/>
      <c r="B662" s="1"/>
      <c r="C662" s="1"/>
      <c r="D662" s="2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>
      <c r="A663" s="1"/>
      <c r="B663" s="1"/>
      <c r="C663" s="1"/>
      <c r="D663" s="2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>
      <c r="A664" s="1"/>
      <c r="B664" s="1"/>
      <c r="C664" s="1"/>
      <c r="D664" s="2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>
      <c r="A665" s="1"/>
      <c r="B665" s="1"/>
      <c r="C665" s="1"/>
      <c r="D665" s="2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>
      <c r="A666" s="1"/>
      <c r="B666" s="1"/>
      <c r="C666" s="1"/>
      <c r="D666" s="2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>
      <c r="A667" s="1"/>
      <c r="B667" s="1"/>
      <c r="C667" s="1"/>
      <c r="D667" s="2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>
      <c r="A668" s="1"/>
      <c r="B668" s="1"/>
      <c r="C668" s="1"/>
      <c r="D668" s="2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>
      <c r="A669" s="1"/>
      <c r="B669" s="1"/>
      <c r="C669" s="1"/>
      <c r="D669" s="2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>
      <c r="A670" s="1"/>
      <c r="B670" s="1"/>
      <c r="C670" s="1"/>
      <c r="D670" s="2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>
      <c r="A671" s="1"/>
      <c r="B671" s="1"/>
      <c r="C671" s="1"/>
      <c r="D671" s="2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>
      <c r="A672" s="1"/>
      <c r="B672" s="1"/>
      <c r="C672" s="1"/>
      <c r="D672" s="2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>
      <c r="A673" s="1"/>
      <c r="B673" s="1"/>
      <c r="C673" s="1"/>
      <c r="D673" s="2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>
      <c r="A674" s="1"/>
      <c r="B674" s="1"/>
      <c r="C674" s="1"/>
      <c r="D674" s="2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>
      <c r="A675" s="1"/>
      <c r="B675" s="1"/>
      <c r="C675" s="1"/>
      <c r="D675" s="2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>
      <c r="A676" s="1"/>
      <c r="B676" s="1"/>
      <c r="C676" s="1"/>
      <c r="D676" s="2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>
      <c r="A677" s="1"/>
      <c r="B677" s="1"/>
      <c r="C677" s="1"/>
      <c r="D677" s="2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>
      <c r="A678" s="1"/>
      <c r="B678" s="1"/>
      <c r="C678" s="1"/>
      <c r="D678" s="2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>
      <c r="A679" s="1"/>
      <c r="B679" s="1"/>
      <c r="C679" s="1"/>
      <c r="D679" s="2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>
      <c r="A680" s="1"/>
      <c r="B680" s="1"/>
      <c r="C680" s="1"/>
      <c r="D680" s="2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>
      <c r="A681" s="1"/>
      <c r="B681" s="1"/>
      <c r="C681" s="1"/>
      <c r="D681" s="2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>
      <c r="A682" s="1"/>
      <c r="B682" s="1"/>
      <c r="C682" s="1"/>
      <c r="D682" s="2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>
      <c r="A683" s="1"/>
      <c r="B683" s="1"/>
      <c r="C683" s="1"/>
      <c r="D683" s="2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>
      <c r="A684" s="1"/>
      <c r="B684" s="1"/>
      <c r="C684" s="1"/>
      <c r="D684" s="2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>
      <c r="A685" s="1"/>
      <c r="B685" s="1"/>
      <c r="C685" s="1"/>
      <c r="D685" s="2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>
      <c r="A686" s="1"/>
      <c r="B686" s="1"/>
      <c r="C686" s="1"/>
      <c r="D686" s="2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>
      <c r="A687" s="1"/>
      <c r="B687" s="1"/>
      <c r="C687" s="1"/>
      <c r="D687" s="2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>
      <c r="A688" s="1"/>
      <c r="B688" s="1"/>
      <c r="C688" s="1"/>
      <c r="D688" s="2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>
      <c r="A689" s="1"/>
      <c r="B689" s="1"/>
      <c r="C689" s="1"/>
      <c r="D689" s="2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>
      <c r="A690" s="1"/>
      <c r="B690" s="1"/>
      <c r="C690" s="1"/>
      <c r="D690" s="2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>
      <c r="A691" s="1"/>
      <c r="B691" s="1"/>
      <c r="C691" s="1"/>
      <c r="D691" s="2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>
      <c r="A692" s="1"/>
      <c r="B692" s="1"/>
      <c r="C692" s="1"/>
      <c r="D692" s="2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>
      <c r="A693" s="1"/>
      <c r="B693" s="1"/>
      <c r="C693" s="1"/>
      <c r="D693" s="2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>
      <c r="A694" s="1"/>
      <c r="B694" s="1"/>
      <c r="C694" s="1"/>
      <c r="D694" s="2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>
      <c r="A695" s="1"/>
      <c r="B695" s="1"/>
      <c r="C695" s="1"/>
      <c r="D695" s="2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>
      <c r="A696" s="1"/>
      <c r="B696" s="1"/>
      <c r="C696" s="1"/>
      <c r="D696" s="2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>
      <c r="A697" s="1"/>
      <c r="B697" s="1"/>
      <c r="C697" s="1"/>
      <c r="D697" s="2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>
      <c r="A698" s="1"/>
      <c r="B698" s="1"/>
      <c r="C698" s="1"/>
      <c r="D698" s="2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>
      <c r="A699" s="1"/>
      <c r="B699" s="1"/>
      <c r="C699" s="1"/>
      <c r="D699" s="2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>
      <c r="A700" s="1"/>
      <c r="B700" s="1"/>
      <c r="C700" s="1"/>
      <c r="D700" s="2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>
      <c r="A701" s="1"/>
      <c r="B701" s="1"/>
      <c r="C701" s="1"/>
      <c r="D701" s="2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>
      <c r="A702" s="1"/>
      <c r="B702" s="1"/>
      <c r="C702" s="1"/>
      <c r="D702" s="2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>
      <c r="A703" s="1"/>
      <c r="B703" s="1"/>
      <c r="C703" s="1"/>
      <c r="D703" s="2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>
      <c r="A704" s="1"/>
      <c r="B704" s="1"/>
      <c r="C704" s="1"/>
      <c r="D704" s="2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>
      <c r="A705" s="1"/>
      <c r="B705" s="1"/>
      <c r="C705" s="1"/>
      <c r="D705" s="2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>
      <c r="A706" s="1"/>
      <c r="B706" s="1"/>
      <c r="C706" s="1"/>
      <c r="D706" s="2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>
      <c r="A707" s="1"/>
      <c r="B707" s="1"/>
      <c r="C707" s="1"/>
      <c r="D707" s="2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>
      <c r="A708" s="1"/>
      <c r="B708" s="1"/>
      <c r="C708" s="1"/>
      <c r="D708" s="2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>
      <c r="A709" s="1"/>
      <c r="B709" s="1"/>
      <c r="C709" s="1"/>
      <c r="D709" s="2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>
      <c r="A710" s="1"/>
      <c r="B710" s="1"/>
      <c r="C710" s="1"/>
      <c r="D710" s="2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>
      <c r="A711" s="1"/>
      <c r="B711" s="1"/>
      <c r="C711" s="1"/>
      <c r="D711" s="2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>
      <c r="A712" s="1"/>
      <c r="B712" s="1"/>
      <c r="C712" s="1"/>
      <c r="D712" s="2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>
      <c r="A713" s="1"/>
      <c r="B713" s="1"/>
      <c r="C713" s="1"/>
      <c r="D713" s="2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>
      <c r="A714" s="1"/>
      <c r="B714" s="1"/>
      <c r="C714" s="1"/>
      <c r="D714" s="2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>
      <c r="A715" s="1"/>
      <c r="B715" s="1"/>
      <c r="C715" s="1"/>
      <c r="D715" s="2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>
      <c r="A716" s="1"/>
      <c r="B716" s="1"/>
      <c r="C716" s="1"/>
      <c r="D716" s="2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>
      <c r="A717" s="1"/>
      <c r="B717" s="1"/>
      <c r="C717" s="1"/>
      <c r="D717" s="2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>
      <c r="A718" s="1"/>
      <c r="B718" s="1"/>
      <c r="C718" s="1"/>
      <c r="D718" s="2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>
      <c r="A719" s="1"/>
      <c r="B719" s="1"/>
      <c r="C719" s="1"/>
      <c r="D719" s="2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>
      <c r="A720" s="1"/>
      <c r="B720" s="1"/>
      <c r="C720" s="1"/>
      <c r="D720" s="2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>
      <c r="A721" s="1"/>
      <c r="B721" s="1"/>
      <c r="C721" s="1"/>
      <c r="D721" s="2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>
      <c r="A722" s="1"/>
      <c r="B722" s="1"/>
      <c r="C722" s="1"/>
      <c r="D722" s="2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>
      <c r="A723" s="1"/>
      <c r="B723" s="1"/>
      <c r="C723" s="1"/>
      <c r="D723" s="2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>
      <c r="A724" s="1"/>
      <c r="B724" s="1"/>
      <c r="C724" s="1"/>
      <c r="D724" s="2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>
      <c r="A725" s="1"/>
      <c r="B725" s="1"/>
      <c r="C725" s="1"/>
      <c r="D725" s="2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>
      <c r="A726" s="1"/>
      <c r="B726" s="1"/>
      <c r="C726" s="1"/>
      <c r="D726" s="2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>
      <c r="A727" s="1"/>
      <c r="B727" s="1"/>
      <c r="C727" s="1"/>
      <c r="D727" s="2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>
      <c r="A728" s="1"/>
      <c r="B728" s="1"/>
      <c r="C728" s="1"/>
      <c r="D728" s="2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>
      <c r="A729" s="1"/>
      <c r="B729" s="1"/>
      <c r="C729" s="1"/>
      <c r="D729" s="2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>
      <c r="A730" s="1"/>
      <c r="B730" s="1"/>
      <c r="C730" s="1"/>
      <c r="D730" s="2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>
      <c r="A731" s="1"/>
      <c r="B731" s="1"/>
      <c r="C731" s="1"/>
      <c r="D731" s="2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>
      <c r="A732" s="1"/>
      <c r="B732" s="1"/>
      <c r="C732" s="1"/>
      <c r="D732" s="2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>
      <c r="A733" s="1"/>
      <c r="B733" s="1"/>
      <c r="C733" s="1"/>
      <c r="D733" s="2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>
      <c r="A734" s="1"/>
      <c r="B734" s="1"/>
      <c r="C734" s="1"/>
      <c r="D734" s="2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>
      <c r="A735" s="1"/>
      <c r="B735" s="1"/>
      <c r="C735" s="1"/>
      <c r="D735" s="2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>
      <c r="A736" s="1"/>
      <c r="B736" s="1"/>
      <c r="C736" s="1"/>
      <c r="D736" s="2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>
      <c r="A737" s="1"/>
      <c r="B737" s="1"/>
      <c r="C737" s="1"/>
      <c r="D737" s="2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>
      <c r="A738" s="1"/>
      <c r="B738" s="1"/>
      <c r="C738" s="1"/>
      <c r="D738" s="2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>
      <c r="A739" s="1"/>
      <c r="B739" s="1"/>
      <c r="C739" s="1"/>
      <c r="D739" s="2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>
      <c r="A740" s="1"/>
      <c r="B740" s="1"/>
      <c r="C740" s="1"/>
      <c r="D740" s="2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>
      <c r="A741" s="1"/>
      <c r="B741" s="1"/>
      <c r="C741" s="1"/>
      <c r="D741" s="2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>
      <c r="A742" s="1"/>
      <c r="B742" s="1"/>
      <c r="C742" s="1"/>
      <c r="D742" s="2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>
      <c r="A743" s="1"/>
      <c r="B743" s="1"/>
      <c r="C743" s="1"/>
      <c r="D743" s="2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>
      <c r="A744" s="1"/>
      <c r="B744" s="1"/>
      <c r="C744" s="1"/>
      <c r="D744" s="2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>
      <c r="A745" s="1"/>
      <c r="B745" s="1"/>
      <c r="C745" s="1"/>
      <c r="D745" s="2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>
      <c r="A746" s="1"/>
      <c r="B746" s="1"/>
      <c r="C746" s="1"/>
      <c r="D746" s="2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>
      <c r="A747" s="1"/>
      <c r="B747" s="1"/>
      <c r="C747" s="1"/>
      <c r="D747" s="2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>
      <c r="A748" s="1"/>
      <c r="B748" s="1"/>
      <c r="C748" s="1"/>
      <c r="D748" s="2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>
      <c r="A749" s="1"/>
      <c r="B749" s="1"/>
      <c r="C749" s="1"/>
      <c r="D749" s="2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>
      <c r="A750" s="1"/>
      <c r="B750" s="1"/>
      <c r="C750" s="1"/>
      <c r="D750" s="2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>
      <c r="A751" s="1"/>
      <c r="B751" s="1"/>
      <c r="C751" s="1"/>
      <c r="D751" s="2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>
      <c r="A752" s="1"/>
      <c r="B752" s="1"/>
      <c r="C752" s="1"/>
      <c r="D752" s="2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>
      <c r="A753" s="1"/>
      <c r="B753" s="1"/>
      <c r="C753" s="1"/>
      <c r="D753" s="2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>
      <c r="A754" s="1"/>
      <c r="B754" s="1"/>
      <c r="C754" s="1"/>
      <c r="D754" s="2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>
      <c r="A755" s="1"/>
      <c r="B755" s="1"/>
      <c r="C755" s="1"/>
      <c r="D755" s="2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>
      <c r="A756" s="1"/>
      <c r="B756" s="1"/>
      <c r="C756" s="1"/>
      <c r="D756" s="2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>
      <c r="A757" s="1"/>
      <c r="B757" s="1"/>
      <c r="C757" s="1"/>
      <c r="D757" s="2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>
      <c r="A758" s="1"/>
      <c r="B758" s="1"/>
      <c r="C758" s="1"/>
      <c r="D758" s="2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>
      <c r="A759" s="1"/>
      <c r="B759" s="1"/>
      <c r="C759" s="1"/>
      <c r="D759" s="2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>
      <c r="A760" s="1"/>
      <c r="B760" s="1"/>
      <c r="C760" s="1"/>
      <c r="D760" s="2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>
      <c r="A761" s="1"/>
      <c r="B761" s="1"/>
      <c r="C761" s="1"/>
      <c r="D761" s="2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>
      <c r="A762" s="1"/>
      <c r="B762" s="1"/>
      <c r="C762" s="1"/>
      <c r="D762" s="2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>
      <c r="A763" s="1"/>
      <c r="B763" s="1"/>
      <c r="C763" s="1"/>
      <c r="D763" s="2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>
      <c r="A764" s="1"/>
      <c r="B764" s="1"/>
      <c r="C764" s="1"/>
      <c r="D764" s="2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>
      <c r="A765" s="1"/>
      <c r="B765" s="1"/>
      <c r="C765" s="1"/>
      <c r="D765" s="2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>
      <c r="A766" s="1"/>
      <c r="B766" s="1"/>
      <c r="C766" s="1"/>
      <c r="D766" s="2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>
      <c r="A767" s="1"/>
      <c r="B767" s="1"/>
      <c r="C767" s="1"/>
      <c r="D767" s="2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>
      <c r="A768" s="1"/>
      <c r="B768" s="1"/>
      <c r="C768" s="1"/>
      <c r="D768" s="2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>
      <c r="A769" s="1"/>
      <c r="B769" s="1"/>
      <c r="C769" s="1"/>
      <c r="D769" s="2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>
      <c r="A770" s="1"/>
      <c r="B770" s="1"/>
      <c r="C770" s="1"/>
      <c r="D770" s="2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>
      <c r="A771" s="1"/>
      <c r="B771" s="1"/>
      <c r="C771" s="1"/>
      <c r="D771" s="2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>
      <c r="A772" s="1"/>
      <c r="B772" s="1"/>
      <c r="C772" s="1"/>
      <c r="D772" s="2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>
      <c r="A773" s="1"/>
      <c r="B773" s="1"/>
      <c r="C773" s="1"/>
      <c r="D773" s="2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>
      <c r="A774" s="1"/>
      <c r="B774" s="1"/>
      <c r="C774" s="1"/>
      <c r="D774" s="2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>
      <c r="A775" s="1"/>
      <c r="B775" s="1"/>
      <c r="C775" s="1"/>
      <c r="D775" s="2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>
      <c r="A776" s="1"/>
      <c r="B776" s="1"/>
      <c r="C776" s="1"/>
      <c r="D776" s="2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>
      <c r="A777" s="1"/>
      <c r="B777" s="1"/>
      <c r="C777" s="1"/>
      <c r="D777" s="2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>
      <c r="A778" s="1"/>
      <c r="B778" s="1"/>
      <c r="C778" s="1"/>
      <c r="D778" s="2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>
      <c r="A779" s="1"/>
      <c r="B779" s="1"/>
      <c r="C779" s="1"/>
      <c r="D779" s="2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>
      <c r="A780" s="1"/>
      <c r="B780" s="1"/>
      <c r="C780" s="1"/>
      <c r="D780" s="2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>
      <c r="A781" s="1"/>
      <c r="B781" s="1"/>
      <c r="C781" s="1"/>
      <c r="D781" s="2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>
      <c r="A782" s="1"/>
      <c r="B782" s="1"/>
      <c r="C782" s="1"/>
      <c r="D782" s="2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>
      <c r="A783" s="1"/>
      <c r="B783" s="1"/>
      <c r="C783" s="1"/>
      <c r="D783" s="2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>
      <c r="A784" s="1"/>
      <c r="B784" s="1"/>
      <c r="C784" s="1"/>
      <c r="D784" s="2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>
      <c r="A785" s="1"/>
      <c r="B785" s="1"/>
      <c r="C785" s="1"/>
      <c r="D785" s="2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>
      <c r="A786" s="1"/>
      <c r="B786" s="1"/>
      <c r="C786" s="1"/>
      <c r="D786" s="2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>
      <c r="A787" s="1"/>
      <c r="B787" s="1"/>
      <c r="C787" s="1"/>
      <c r="D787" s="2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>
      <c r="A788" s="1"/>
      <c r="B788" s="1"/>
      <c r="C788" s="1"/>
      <c r="D788" s="2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>
      <c r="A789" s="1"/>
      <c r="B789" s="1"/>
      <c r="C789" s="1"/>
      <c r="D789" s="2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>
      <c r="A790" s="1"/>
      <c r="B790" s="1"/>
      <c r="C790" s="1"/>
      <c r="D790" s="2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>
      <c r="A791" s="1"/>
      <c r="B791" s="1"/>
      <c r="C791" s="1"/>
      <c r="D791" s="2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>
      <c r="A792" s="1"/>
      <c r="B792" s="1"/>
      <c r="C792" s="1"/>
      <c r="D792" s="2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>
      <c r="A793" s="1"/>
      <c r="B793" s="1"/>
      <c r="C793" s="1"/>
      <c r="D793" s="2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>
      <c r="A794" s="1"/>
      <c r="B794" s="1"/>
      <c r="C794" s="1"/>
      <c r="D794" s="2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>
      <c r="A795" s="1"/>
      <c r="B795" s="1"/>
      <c r="C795" s="1"/>
      <c r="D795" s="2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>
      <c r="A796" s="1"/>
      <c r="B796" s="1"/>
      <c r="C796" s="1"/>
      <c r="D796" s="2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>
      <c r="A797" s="1"/>
      <c r="B797" s="1"/>
      <c r="C797" s="1"/>
      <c r="D797" s="2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>
      <c r="A798" s="1"/>
      <c r="B798" s="1"/>
      <c r="C798" s="1"/>
      <c r="D798" s="2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>
      <c r="A799" s="1"/>
      <c r="B799" s="1"/>
      <c r="C799" s="1"/>
      <c r="D799" s="2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>
      <c r="A800" s="1"/>
      <c r="B800" s="1"/>
      <c r="C800" s="1"/>
      <c r="D800" s="2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>
      <c r="A801" s="1"/>
      <c r="B801" s="1"/>
      <c r="C801" s="1"/>
      <c r="D801" s="2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>
      <c r="A802" s="1"/>
      <c r="B802" s="1"/>
      <c r="C802" s="1"/>
      <c r="D802" s="2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>
      <c r="A803" s="1"/>
      <c r="B803" s="1"/>
      <c r="C803" s="1"/>
      <c r="D803" s="2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>
      <c r="A804" s="1"/>
      <c r="B804" s="1"/>
      <c r="C804" s="1"/>
      <c r="D804" s="2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>
      <c r="A805" s="1"/>
      <c r="B805" s="1"/>
      <c r="C805" s="1"/>
      <c r="D805" s="2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>
      <c r="A806" s="1"/>
      <c r="B806" s="1"/>
      <c r="C806" s="1"/>
      <c r="D806" s="2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>
      <c r="A807" s="1"/>
      <c r="B807" s="1"/>
      <c r="C807" s="1"/>
      <c r="D807" s="2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>
      <c r="A808" s="1"/>
      <c r="B808" s="1"/>
      <c r="C808" s="1"/>
      <c r="D808" s="2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>
      <c r="A809" s="1"/>
      <c r="B809" s="1"/>
      <c r="C809" s="1"/>
      <c r="D809" s="2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>
      <c r="A810" s="1"/>
      <c r="B810" s="1"/>
      <c r="C810" s="1"/>
      <c r="D810" s="2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>
      <c r="A811" s="1"/>
      <c r="B811" s="1"/>
      <c r="C811" s="1"/>
      <c r="D811" s="2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>
      <c r="A812" s="1"/>
      <c r="B812" s="1"/>
      <c r="C812" s="1"/>
      <c r="D812" s="2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>
      <c r="A813" s="1"/>
      <c r="B813" s="1"/>
      <c r="C813" s="1"/>
      <c r="D813" s="2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>
      <c r="A814" s="1"/>
      <c r="B814" s="1"/>
      <c r="C814" s="1"/>
      <c r="D814" s="2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>
      <c r="A815" s="1"/>
      <c r="B815" s="1"/>
      <c r="C815" s="1"/>
      <c r="D815" s="2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>
      <c r="A816" s="1"/>
      <c r="B816" s="1"/>
      <c r="C816" s="1"/>
      <c r="D816" s="2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>
      <c r="A817" s="1"/>
      <c r="B817" s="1"/>
      <c r="C817" s="1"/>
      <c r="D817" s="2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>
      <c r="A818" s="1"/>
      <c r="B818" s="1"/>
      <c r="C818" s="1"/>
      <c r="D818" s="2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>
      <c r="A819" s="1"/>
      <c r="B819" s="1"/>
      <c r="C819" s="1"/>
      <c r="D819" s="2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>
      <c r="A820" s="1"/>
      <c r="B820" s="1"/>
      <c r="C820" s="1"/>
      <c r="D820" s="2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>
      <c r="A821" s="1"/>
      <c r="B821" s="1"/>
      <c r="C821" s="1"/>
      <c r="D821" s="2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>
      <c r="A822" s="1"/>
      <c r="B822" s="1"/>
      <c r="C822" s="1"/>
      <c r="D822" s="2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>
      <c r="A823" s="1"/>
      <c r="B823" s="1"/>
      <c r="C823" s="1"/>
      <c r="D823" s="2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>
      <c r="A824" s="1"/>
      <c r="B824" s="1"/>
      <c r="C824" s="1"/>
      <c r="D824" s="2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>
      <c r="A825" s="1"/>
      <c r="B825" s="1"/>
      <c r="C825" s="1"/>
      <c r="D825" s="2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>
      <c r="A826" s="1"/>
      <c r="B826" s="1"/>
      <c r="C826" s="1"/>
      <c r="D826" s="2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>
      <c r="A827" s="1"/>
      <c r="B827" s="1"/>
      <c r="C827" s="1"/>
      <c r="D827" s="2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>
      <c r="A828" s="1"/>
      <c r="B828" s="1"/>
      <c r="C828" s="1"/>
      <c r="D828" s="2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>
      <c r="A829" s="1"/>
      <c r="B829" s="1"/>
      <c r="C829" s="1"/>
      <c r="D829" s="2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>
      <c r="A830" s="1"/>
      <c r="B830" s="1"/>
      <c r="C830" s="1"/>
      <c r="D830" s="2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>
      <c r="A831" s="1"/>
      <c r="B831" s="1"/>
      <c r="C831" s="1"/>
      <c r="D831" s="2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>
      <c r="A832" s="1"/>
      <c r="B832" s="1"/>
      <c r="C832" s="1"/>
      <c r="D832" s="2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>
      <c r="A833" s="1"/>
      <c r="B833" s="1"/>
      <c r="C833" s="1"/>
      <c r="D833" s="2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>
      <c r="A834" s="1"/>
      <c r="B834" s="1"/>
      <c r="C834" s="1"/>
      <c r="D834" s="2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>
      <c r="A835" s="1"/>
      <c r="B835" s="1"/>
      <c r="C835" s="1"/>
      <c r="D835" s="2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>
      <c r="A836" s="1"/>
      <c r="B836" s="1"/>
      <c r="C836" s="1"/>
      <c r="D836" s="2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>
      <c r="A837" s="1"/>
      <c r="B837" s="1"/>
      <c r="C837" s="1"/>
      <c r="D837" s="2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>
      <c r="A838" s="1"/>
      <c r="B838" s="1"/>
      <c r="C838" s="1"/>
      <c r="D838" s="2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>
      <c r="A839" s="1"/>
      <c r="B839" s="1"/>
      <c r="C839" s="1"/>
      <c r="D839" s="2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>
      <c r="A840" s="1"/>
      <c r="B840" s="1"/>
      <c r="C840" s="1"/>
      <c r="D840" s="2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>
      <c r="A841" s="1"/>
      <c r="B841" s="1"/>
      <c r="C841" s="1"/>
      <c r="D841" s="2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>
      <c r="A842" s="1"/>
      <c r="B842" s="1"/>
      <c r="C842" s="1"/>
      <c r="D842" s="2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>
      <c r="A843" s="1"/>
      <c r="B843" s="1"/>
      <c r="C843" s="1"/>
      <c r="D843" s="2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>
      <c r="A844" s="1"/>
      <c r="B844" s="1"/>
      <c r="C844" s="1"/>
      <c r="D844" s="2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>
      <c r="A845" s="1"/>
      <c r="B845" s="1"/>
      <c r="C845" s="1"/>
      <c r="D845" s="2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>
      <c r="A846" s="1"/>
      <c r="B846" s="1"/>
      <c r="C846" s="1"/>
      <c r="D846" s="2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>
      <c r="A847" s="1"/>
      <c r="B847" s="1"/>
      <c r="C847" s="1"/>
      <c r="D847" s="2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>
      <c r="A848" s="1"/>
      <c r="B848" s="1"/>
      <c r="C848" s="1"/>
      <c r="D848" s="2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>
      <c r="A849" s="1"/>
      <c r="B849" s="1"/>
      <c r="C849" s="1"/>
      <c r="D849" s="2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>
      <c r="A850" s="1"/>
      <c r="B850" s="1"/>
      <c r="C850" s="1"/>
      <c r="D850" s="2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>
      <c r="A851" s="1"/>
      <c r="B851" s="1"/>
      <c r="C851" s="1"/>
      <c r="D851" s="2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>
      <c r="A852" s="1"/>
      <c r="B852" s="1"/>
      <c r="C852" s="1"/>
      <c r="D852" s="2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>
      <c r="A853" s="1"/>
      <c r="B853" s="1"/>
      <c r="C853" s="1"/>
      <c r="D853" s="2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>
      <c r="A854" s="1"/>
      <c r="B854" s="1"/>
      <c r="C854" s="1"/>
      <c r="D854" s="2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>
      <c r="A855" s="1"/>
      <c r="B855" s="1"/>
      <c r="C855" s="1"/>
      <c r="D855" s="2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>
      <c r="A856" s="1"/>
      <c r="B856" s="1"/>
      <c r="C856" s="1"/>
      <c r="D856" s="2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>
      <c r="A857" s="1"/>
      <c r="B857" s="1"/>
      <c r="C857" s="1"/>
      <c r="D857" s="2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>
      <c r="A858" s="1"/>
      <c r="B858" s="1"/>
      <c r="C858" s="1"/>
      <c r="D858" s="2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>
      <c r="A859" s="1"/>
      <c r="B859" s="1"/>
      <c r="C859" s="1"/>
      <c r="D859" s="2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>
      <c r="A860" s="1"/>
      <c r="B860" s="1"/>
      <c r="C860" s="1"/>
      <c r="D860" s="2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>
      <c r="A861" s="1"/>
      <c r="B861" s="1"/>
      <c r="C861" s="1"/>
      <c r="D861" s="2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>
      <c r="A862" s="1"/>
      <c r="B862" s="1"/>
      <c r="C862" s="1"/>
      <c r="D862" s="2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>
      <c r="A863" s="1"/>
      <c r="B863" s="1"/>
      <c r="C863" s="1"/>
      <c r="D863" s="2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>
      <c r="A864" s="1"/>
      <c r="B864" s="1"/>
      <c r="C864" s="1"/>
      <c r="D864" s="2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>
      <c r="A865" s="1"/>
      <c r="B865" s="1"/>
      <c r="C865" s="1"/>
      <c r="D865" s="2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>
      <c r="A866" s="1"/>
      <c r="B866" s="1"/>
      <c r="C866" s="1"/>
      <c r="D866" s="2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>
      <c r="A867" s="1"/>
      <c r="B867" s="1"/>
      <c r="C867" s="1"/>
      <c r="D867" s="2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>
      <c r="A868" s="1"/>
      <c r="B868" s="1"/>
      <c r="C868" s="1"/>
      <c r="D868" s="2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>
      <c r="A869" s="1"/>
      <c r="B869" s="1"/>
      <c r="C869" s="1"/>
      <c r="D869" s="2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>
      <c r="A870" s="1"/>
      <c r="B870" s="1"/>
      <c r="C870" s="1"/>
      <c r="D870" s="2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>
      <c r="A871" s="1"/>
      <c r="B871" s="1"/>
      <c r="C871" s="1"/>
      <c r="D871" s="2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>
      <c r="A872" s="1"/>
      <c r="B872" s="1"/>
      <c r="C872" s="1"/>
      <c r="D872" s="2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>
      <c r="A873" s="1"/>
      <c r="B873" s="1"/>
      <c r="C873" s="1"/>
      <c r="D873" s="2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>
      <c r="A874" s="1"/>
      <c r="B874" s="1"/>
      <c r="C874" s="1"/>
      <c r="D874" s="2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>
      <c r="A875" s="1"/>
      <c r="B875" s="1"/>
      <c r="C875" s="1"/>
      <c r="D875" s="2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>
      <c r="A876" s="1"/>
      <c r="B876" s="1"/>
      <c r="C876" s="1"/>
      <c r="D876" s="2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>
      <c r="A877" s="1"/>
      <c r="B877" s="1"/>
      <c r="C877" s="1"/>
      <c r="D877" s="2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>
      <c r="A878" s="1"/>
      <c r="B878" s="1"/>
      <c r="C878" s="1"/>
      <c r="D878" s="2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>
      <c r="A879" s="1"/>
      <c r="B879" s="1"/>
      <c r="C879" s="1"/>
      <c r="D879" s="2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>
      <c r="A880" s="1"/>
      <c r="B880" s="1"/>
      <c r="C880" s="1"/>
      <c r="D880" s="2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>
      <c r="A881" s="1"/>
      <c r="B881" s="1"/>
      <c r="C881" s="1"/>
      <c r="D881" s="2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>
      <c r="A882" s="1"/>
      <c r="B882" s="1"/>
      <c r="C882" s="1"/>
      <c r="D882" s="2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>
      <c r="A883" s="1"/>
      <c r="B883" s="1"/>
      <c r="C883" s="1"/>
      <c r="D883" s="2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>
      <c r="A884" s="1"/>
      <c r="B884" s="1"/>
      <c r="C884" s="1"/>
      <c r="D884" s="2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>
      <c r="A885" s="1"/>
      <c r="B885" s="1"/>
      <c r="C885" s="1"/>
      <c r="D885" s="2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>
      <c r="A886" s="1"/>
      <c r="B886" s="1"/>
      <c r="C886" s="1"/>
      <c r="D886" s="2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>
      <c r="A887" s="1"/>
      <c r="B887" s="1"/>
      <c r="C887" s="1"/>
      <c r="D887" s="2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>
      <c r="A888" s="1"/>
      <c r="B888" s="1"/>
      <c r="C888" s="1"/>
      <c r="D888" s="2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>
      <c r="A889" s="1"/>
      <c r="B889" s="1"/>
      <c r="C889" s="1"/>
      <c r="D889" s="2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>
      <c r="A890" s="1"/>
      <c r="B890" s="1"/>
      <c r="C890" s="1"/>
      <c r="D890" s="2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>
      <c r="A891" s="1"/>
      <c r="B891" s="1"/>
      <c r="C891" s="1"/>
      <c r="D891" s="2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>
      <c r="A892" s="1"/>
      <c r="B892" s="1"/>
      <c r="C892" s="1"/>
      <c r="D892" s="2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>
      <c r="A893" s="1"/>
      <c r="B893" s="1"/>
      <c r="C893" s="1"/>
      <c r="D893" s="2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>
      <c r="A894" s="1"/>
      <c r="B894" s="1"/>
      <c r="C894" s="1"/>
      <c r="D894" s="2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>
      <c r="A895" s="1"/>
      <c r="B895" s="1"/>
      <c r="C895" s="1"/>
      <c r="D895" s="2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>
      <c r="A896" s="1"/>
      <c r="B896" s="1"/>
      <c r="C896" s="1"/>
      <c r="D896" s="2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>
      <c r="A897" s="1"/>
      <c r="B897" s="1"/>
      <c r="C897" s="1"/>
      <c r="D897" s="2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>
      <c r="A898" s="1"/>
      <c r="B898" s="1"/>
      <c r="C898" s="1"/>
      <c r="D898" s="2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>
      <c r="A899" s="1"/>
      <c r="B899" s="1"/>
      <c r="C899" s="1"/>
      <c r="D899" s="2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>
      <c r="A900" s="1"/>
      <c r="B900" s="1"/>
      <c r="C900" s="1"/>
      <c r="D900" s="2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>
      <c r="A901" s="1"/>
      <c r="B901" s="1"/>
      <c r="C901" s="1"/>
      <c r="D901" s="2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>
      <c r="A902" s="1"/>
      <c r="B902" s="1"/>
      <c r="C902" s="1"/>
      <c r="D902" s="2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>
      <c r="A903" s="1"/>
      <c r="B903" s="1"/>
      <c r="C903" s="1"/>
      <c r="D903" s="2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>
      <c r="A904" s="1"/>
      <c r="B904" s="1"/>
      <c r="C904" s="1"/>
      <c r="D904" s="2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>
      <c r="A905" s="1"/>
      <c r="B905" s="1"/>
      <c r="C905" s="1"/>
      <c r="D905" s="2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>
      <c r="A906" s="1"/>
      <c r="B906" s="1"/>
      <c r="C906" s="1"/>
      <c r="D906" s="2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>
      <c r="A907" s="1"/>
      <c r="B907" s="1"/>
      <c r="C907" s="1"/>
      <c r="D907" s="2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>
      <c r="A908" s="1"/>
      <c r="B908" s="1"/>
      <c r="C908" s="1"/>
      <c r="D908" s="2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>
      <c r="A909" s="1"/>
      <c r="B909" s="1"/>
      <c r="C909" s="1"/>
      <c r="D909" s="2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>
      <c r="A910" s="1"/>
      <c r="B910" s="1"/>
      <c r="C910" s="1"/>
      <c r="D910" s="2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>
      <c r="A911" s="1"/>
      <c r="B911" s="1"/>
      <c r="C911" s="1"/>
      <c r="D911" s="2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>
      <c r="A912" s="1"/>
      <c r="B912" s="1"/>
      <c r="C912" s="1"/>
      <c r="D912" s="2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>
      <c r="A913" s="1"/>
      <c r="B913" s="1"/>
      <c r="C913" s="1"/>
      <c r="D913" s="2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>
      <c r="A914" s="1"/>
      <c r="B914" s="1"/>
      <c r="C914" s="1"/>
      <c r="D914" s="2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>
      <c r="A915" s="1"/>
      <c r="B915" s="1"/>
      <c r="C915" s="1"/>
      <c r="D915" s="2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>
      <c r="A916" s="1"/>
      <c r="B916" s="1"/>
      <c r="C916" s="1"/>
      <c r="D916" s="2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>
      <c r="A917" s="1"/>
      <c r="B917" s="1"/>
      <c r="C917" s="1"/>
      <c r="D917" s="2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>
      <c r="A918" s="1"/>
      <c r="B918" s="1"/>
      <c r="C918" s="1"/>
      <c r="D918" s="2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>
      <c r="A919" s="1"/>
      <c r="B919" s="1"/>
      <c r="C919" s="1"/>
      <c r="D919" s="2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>
      <c r="A920" s="1"/>
      <c r="B920" s="1"/>
      <c r="C920" s="1"/>
      <c r="D920" s="2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>
      <c r="A921" s="1"/>
      <c r="B921" s="1"/>
      <c r="C921" s="1"/>
      <c r="D921" s="2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>
      <c r="A922" s="1"/>
      <c r="B922" s="1"/>
      <c r="C922" s="1"/>
      <c r="D922" s="2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>
      <c r="A923" s="1"/>
      <c r="B923" s="1"/>
      <c r="C923" s="1"/>
      <c r="D923" s="2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>
      <c r="A924" s="1"/>
      <c r="B924" s="1"/>
      <c r="C924" s="1"/>
      <c r="D924" s="2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>
      <c r="A925" s="1"/>
      <c r="B925" s="1"/>
      <c r="C925" s="1"/>
      <c r="D925" s="2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>
      <c r="A926" s="1"/>
      <c r="B926" s="1"/>
      <c r="C926" s="1"/>
      <c r="D926" s="2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>
      <c r="A927" s="1"/>
      <c r="B927" s="1"/>
      <c r="C927" s="1"/>
      <c r="D927" s="2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>
      <c r="A928" s="1"/>
      <c r="B928" s="1"/>
      <c r="C928" s="1"/>
      <c r="D928" s="2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>
      <c r="A929" s="1"/>
      <c r="B929" s="1"/>
      <c r="C929" s="1"/>
      <c r="D929" s="2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>
      <c r="A930" s="1"/>
      <c r="B930" s="1"/>
      <c r="C930" s="1"/>
      <c r="D930" s="2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>
      <c r="A931" s="1"/>
      <c r="B931" s="1"/>
      <c r="C931" s="1"/>
      <c r="D931" s="2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>
      <c r="A932" s="1"/>
      <c r="B932" s="1"/>
      <c r="C932" s="1"/>
      <c r="D932" s="2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>
      <c r="A933" s="1"/>
      <c r="B933" s="1"/>
      <c r="C933" s="1"/>
      <c r="D933" s="2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>
      <c r="A934" s="1"/>
      <c r="B934" s="1"/>
      <c r="C934" s="1"/>
      <c r="D934" s="2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>
      <c r="A935" s="1"/>
      <c r="B935" s="1"/>
      <c r="C935" s="1"/>
      <c r="D935" s="2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>
      <c r="A936" s="1"/>
      <c r="B936" s="1"/>
      <c r="C936" s="1"/>
      <c r="D936" s="2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>
      <c r="A937" s="1"/>
      <c r="B937" s="1"/>
      <c r="C937" s="1"/>
      <c r="D937" s="2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>
      <c r="A938" s="1"/>
      <c r="B938" s="1"/>
      <c r="C938" s="1"/>
      <c r="D938" s="2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>
      <c r="A939" s="1"/>
      <c r="B939" s="1"/>
      <c r="C939" s="1"/>
      <c r="D939" s="2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>
      <c r="A940" s="1"/>
      <c r="B940" s="1"/>
      <c r="C940" s="1"/>
      <c r="D940" s="2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>
      <c r="A941" s="1"/>
      <c r="B941" s="1"/>
      <c r="C941" s="1"/>
      <c r="D941" s="2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>
      <c r="A942" s="1"/>
      <c r="B942" s="1"/>
      <c r="C942" s="1"/>
      <c r="D942" s="2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>
      <c r="A943" s="1"/>
      <c r="B943" s="1"/>
      <c r="C943" s="1"/>
      <c r="D943" s="2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>
      <c r="A944" s="1"/>
      <c r="B944" s="1"/>
      <c r="C944" s="1"/>
      <c r="D944" s="2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>
      <c r="A945" s="1"/>
      <c r="B945" s="1"/>
      <c r="C945" s="1"/>
      <c r="D945" s="2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>
      <c r="A946" s="1"/>
      <c r="B946" s="1"/>
      <c r="C946" s="1"/>
      <c r="D946" s="2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>
      <c r="A947" s="1"/>
      <c r="B947" s="1"/>
      <c r="C947" s="1"/>
      <c r="D947" s="2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>
      <c r="A948" s="1"/>
      <c r="B948" s="1"/>
      <c r="C948" s="1"/>
      <c r="D948" s="2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>
      <c r="A949" s="1"/>
      <c r="B949" s="1"/>
      <c r="C949" s="1"/>
      <c r="D949" s="2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>
      <c r="A950" s="1"/>
      <c r="B950" s="1"/>
      <c r="C950" s="1"/>
      <c r="D950" s="2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>
      <c r="A951" s="1"/>
      <c r="B951" s="1"/>
      <c r="C951" s="1"/>
      <c r="D951" s="2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>
      <c r="A952" s="1"/>
      <c r="B952" s="1"/>
      <c r="C952" s="1"/>
      <c r="D952" s="2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>
      <c r="A953" s="1"/>
      <c r="B953" s="1"/>
      <c r="C953" s="1"/>
      <c r="D953" s="2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>
      <c r="A954" s="1"/>
      <c r="B954" s="1"/>
      <c r="C954" s="1"/>
      <c r="D954" s="2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>
      <c r="A955" s="1"/>
      <c r="B955" s="1"/>
      <c r="C955" s="1"/>
      <c r="D955" s="2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>
      <c r="A956" s="1"/>
      <c r="B956" s="1"/>
      <c r="C956" s="1"/>
      <c r="D956" s="2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>
      <c r="A957" s="1"/>
      <c r="B957" s="1"/>
      <c r="C957" s="1"/>
      <c r="D957" s="2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>
      <c r="A958" s="1"/>
      <c r="B958" s="1"/>
      <c r="C958" s="1"/>
      <c r="D958" s="2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>
      <c r="A959" s="1"/>
      <c r="B959" s="1"/>
      <c r="C959" s="1"/>
      <c r="D959" s="2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>
      <c r="A960" s="1"/>
      <c r="B960" s="1"/>
      <c r="C960" s="1"/>
      <c r="D960" s="2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>
      <c r="A961" s="1"/>
      <c r="B961" s="1"/>
      <c r="C961" s="1"/>
      <c r="D961" s="2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>
      <c r="A962" s="1"/>
      <c r="B962" s="1"/>
      <c r="C962" s="1"/>
      <c r="D962" s="2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>
      <c r="A963" s="1"/>
      <c r="B963" s="1"/>
      <c r="C963" s="1"/>
      <c r="D963" s="2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>
      <c r="A964" s="1"/>
      <c r="B964" s="1"/>
      <c r="C964" s="1"/>
      <c r="D964" s="2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>
      <c r="A965" s="1"/>
      <c r="B965" s="1"/>
      <c r="C965" s="1"/>
      <c r="D965" s="2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>
      <c r="A966" s="1"/>
      <c r="B966" s="1"/>
      <c r="C966" s="1"/>
      <c r="D966" s="2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>
      <c r="A967" s="1"/>
      <c r="B967" s="1"/>
      <c r="C967" s="1"/>
      <c r="D967" s="2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>
      <c r="A968" s="1"/>
      <c r="B968" s="1"/>
      <c r="C968" s="1"/>
      <c r="D968" s="2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>
      <c r="A969" s="1"/>
      <c r="B969" s="1"/>
      <c r="C969" s="1"/>
      <c r="D969" s="2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>
      <c r="A970" s="1"/>
      <c r="B970" s="1"/>
      <c r="C970" s="1"/>
      <c r="D970" s="2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>
      <c r="A971" s="1"/>
      <c r="B971" s="1"/>
      <c r="C971" s="1"/>
      <c r="D971" s="2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>
      <c r="A972" s="1"/>
      <c r="B972" s="1"/>
      <c r="C972" s="1"/>
      <c r="D972" s="2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>
      <c r="A973" s="1"/>
      <c r="B973" s="1"/>
      <c r="C973" s="1"/>
      <c r="D973" s="2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>
      <c r="A974" s="1"/>
      <c r="B974" s="1"/>
      <c r="C974" s="1"/>
      <c r="D974" s="2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>
      <c r="A975" s="1"/>
      <c r="B975" s="1"/>
      <c r="C975" s="1"/>
      <c r="D975" s="2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>
      <c r="A976" s="1"/>
      <c r="B976" s="1"/>
      <c r="C976" s="1"/>
      <c r="D976" s="2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>
      <c r="A977" s="1"/>
      <c r="B977" s="1"/>
      <c r="C977" s="1"/>
      <c r="D977" s="2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>
      <c r="A978" s="1"/>
      <c r="B978" s="1"/>
      <c r="C978" s="1"/>
      <c r="D978" s="2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>
      <c r="A979" s="1"/>
      <c r="B979" s="1"/>
      <c r="C979" s="1"/>
      <c r="D979" s="2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>
      <c r="A980" s="1"/>
      <c r="B980" s="1"/>
      <c r="C980" s="1"/>
      <c r="D980" s="2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>
      <c r="A981" s="1"/>
      <c r="B981" s="1"/>
      <c r="C981" s="1"/>
      <c r="D981" s="2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>
      <c r="A982" s="1"/>
      <c r="B982" s="1"/>
      <c r="C982" s="1"/>
      <c r="D982" s="2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>
      <c r="A983" s="1"/>
      <c r="B983" s="1"/>
      <c r="C983" s="1"/>
      <c r="D983" s="2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>
      <c r="A984" s="1"/>
      <c r="B984" s="1"/>
      <c r="C984" s="1"/>
      <c r="D984" s="2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>
      <c r="A985" s="1"/>
      <c r="B985" s="1"/>
      <c r="C985" s="1"/>
      <c r="D985" s="2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>
      <c r="A986" s="1"/>
      <c r="B986" s="1"/>
      <c r="C986" s="1"/>
      <c r="D986" s="2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>
      <c r="A987" s="1"/>
      <c r="B987" s="1"/>
      <c r="C987" s="1"/>
      <c r="D987" s="2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>
      <c r="A988" s="1"/>
      <c r="B988" s="1"/>
      <c r="C988" s="1"/>
      <c r="D988" s="2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>
      <c r="A989" s="1"/>
      <c r="B989" s="1"/>
      <c r="C989" s="1"/>
      <c r="D989" s="2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>
      <c r="A990" s="1"/>
      <c r="B990" s="1"/>
      <c r="C990" s="1"/>
      <c r="D990" s="2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>
      <c r="A991" s="1"/>
      <c r="B991" s="1"/>
      <c r="C991" s="1"/>
      <c r="D991" s="2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>
      <c r="A992" s="1"/>
      <c r="B992" s="1"/>
      <c r="C992" s="1"/>
      <c r="D992" s="2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>
      <c r="A993" s="1"/>
      <c r="B993" s="1"/>
      <c r="C993" s="1"/>
      <c r="D993" s="2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>
      <c r="A994" s="1"/>
      <c r="B994" s="1"/>
      <c r="C994" s="1"/>
      <c r="D994" s="2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>
      <c r="A995" s="1"/>
      <c r="B995" s="1"/>
      <c r="C995" s="1"/>
      <c r="D995" s="2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>
      <c r="A996" s="1"/>
      <c r="B996" s="1"/>
      <c r="C996" s="1"/>
      <c r="D996" s="2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>
      <c r="A997" s="1"/>
      <c r="B997" s="1"/>
      <c r="C997" s="1"/>
      <c r="D997" s="2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>
      <c r="A998" s="1"/>
      <c r="B998" s="1"/>
      <c r="C998" s="1"/>
      <c r="D998" s="2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>
      <c r="A999" s="1"/>
      <c r="B999" s="1"/>
      <c r="C999" s="1"/>
      <c r="D999" s="2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>
      <c r="A1000" s="1"/>
      <c r="B1000" s="1"/>
      <c r="C1000" s="1"/>
      <c r="D1000" s="2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2.75">
      <c r="A1001" s="1"/>
      <c r="B1001" s="1"/>
      <c r="C1001" s="1"/>
      <c r="D1001" s="24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2.75">
      <c r="A1002" s="1"/>
      <c r="B1002" s="1"/>
      <c r="C1002" s="1"/>
      <c r="D1002" s="24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2.75">
      <c r="A1003" s="1"/>
      <c r="B1003" s="1"/>
      <c r="C1003" s="1"/>
      <c r="D1003" s="24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2.75">
      <c r="A1004" s="1"/>
      <c r="B1004" s="1"/>
      <c r="C1004" s="1"/>
      <c r="D1004" s="24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2.75">
      <c r="A1005" s="1"/>
      <c r="B1005" s="1"/>
      <c r="C1005" s="1"/>
      <c r="D1005" s="24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2.75">
      <c r="A1006" s="1"/>
      <c r="B1006" s="1"/>
      <c r="C1006" s="1"/>
      <c r="D1006" s="24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2.75">
      <c r="A1007" s="1"/>
      <c r="B1007" s="1"/>
      <c r="C1007" s="1"/>
      <c r="D1007" s="24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2.75">
      <c r="A1008" s="1"/>
      <c r="B1008" s="1"/>
      <c r="C1008" s="1"/>
      <c r="D1008" s="24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2.75">
      <c r="A1009" s="1"/>
      <c r="B1009" s="1"/>
      <c r="C1009" s="1"/>
      <c r="D1009" s="24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2.75">
      <c r="A1010" s="1"/>
      <c r="B1010" s="1"/>
      <c r="C1010" s="1"/>
      <c r="D1010" s="24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2.75">
      <c r="A1011" s="1"/>
      <c r="B1011" s="1"/>
      <c r="C1011" s="1"/>
      <c r="D1011" s="24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2.75">
      <c r="A1012" s="1"/>
      <c r="B1012" s="1"/>
      <c r="C1012" s="1"/>
      <c r="D1012" s="24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2.75">
      <c r="A1013" s="1"/>
      <c r="B1013" s="1"/>
      <c r="C1013" s="1"/>
      <c r="D1013" s="24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2.75">
      <c r="A1014" s="1"/>
      <c r="B1014" s="1"/>
      <c r="C1014" s="1"/>
      <c r="D1014" s="24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2.75">
      <c r="A1015" s="1"/>
      <c r="B1015" s="1"/>
      <c r="C1015" s="1"/>
      <c r="D1015" s="24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2.75">
      <c r="A1016" s="1"/>
      <c r="B1016" s="1"/>
      <c r="C1016" s="1"/>
      <c r="D1016" s="24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2.75">
      <c r="A1017" s="1"/>
      <c r="B1017" s="1"/>
      <c r="C1017" s="1"/>
      <c r="D1017" s="24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2.75">
      <c r="A1018" s="1"/>
      <c r="B1018" s="1"/>
      <c r="C1018" s="1"/>
      <c r="D1018" s="24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2.75">
      <c r="A1019" s="1"/>
      <c r="B1019" s="1"/>
      <c r="C1019" s="1"/>
      <c r="D1019" s="24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2.75">
      <c r="A1020" s="1"/>
      <c r="B1020" s="1"/>
      <c r="C1020" s="1"/>
      <c r="D1020" s="24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2.75">
      <c r="A1021" s="1"/>
      <c r="B1021" s="1"/>
      <c r="C1021" s="1"/>
      <c r="D1021" s="24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2.75">
      <c r="A1022" s="1"/>
      <c r="B1022" s="1"/>
      <c r="C1022" s="1"/>
      <c r="D1022" s="24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2.75">
      <c r="A1023" s="1"/>
      <c r="B1023" s="1"/>
      <c r="C1023" s="1"/>
      <c r="D1023" s="24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2.75">
      <c r="A1024" s="1"/>
      <c r="B1024" s="1"/>
      <c r="C1024" s="1"/>
      <c r="D1024" s="24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2.75">
      <c r="A1025" s="1"/>
      <c r="B1025" s="1"/>
      <c r="C1025" s="1"/>
      <c r="D1025" s="24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2.75">
      <c r="A1026" s="1"/>
      <c r="B1026" s="1"/>
      <c r="C1026" s="1"/>
      <c r="D1026" s="24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2.75">
      <c r="A1027" s="1"/>
      <c r="B1027" s="1"/>
      <c r="C1027" s="1"/>
      <c r="D1027" s="24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2.75">
      <c r="A1028" s="1"/>
      <c r="B1028" s="1"/>
      <c r="C1028" s="1"/>
      <c r="D1028" s="24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2.75">
      <c r="A1029" s="1"/>
      <c r="B1029" s="1"/>
      <c r="C1029" s="1"/>
      <c r="D1029" s="24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2.75">
      <c r="A1030" s="1"/>
      <c r="B1030" s="1"/>
      <c r="C1030" s="1"/>
      <c r="D1030" s="24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2.75">
      <c r="A1031" s="1"/>
      <c r="B1031" s="1"/>
      <c r="C1031" s="1"/>
      <c r="D1031" s="24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2.75">
      <c r="A1032" s="1"/>
      <c r="B1032" s="1"/>
      <c r="C1032" s="1"/>
      <c r="D1032" s="24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2.75">
      <c r="A1033" s="1"/>
      <c r="B1033" s="1"/>
      <c r="C1033" s="1"/>
      <c r="D1033" s="24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12.75">
      <c r="A1034" s="1"/>
      <c r="B1034" s="1"/>
      <c r="C1034" s="1"/>
      <c r="D1034" s="24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12.75">
      <c r="A1035" s="1"/>
      <c r="B1035" s="1"/>
      <c r="C1035" s="1"/>
      <c r="D1035" s="24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ht="12.75">
      <c r="A1036" s="1"/>
      <c r="B1036" s="1"/>
      <c r="C1036" s="1"/>
      <c r="D1036" s="24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ht="12.75">
      <c r="A1037" s="1"/>
      <c r="B1037" s="1"/>
      <c r="C1037" s="1"/>
      <c r="D1037" s="24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</sheetData>
  <mergeCells count="65">
    <mergeCell ref="AD23:AD24"/>
    <mergeCell ref="E46:AB46"/>
    <mergeCell ref="B50:D50"/>
    <mergeCell ref="B49:D49"/>
    <mergeCell ref="AD76:AD77"/>
    <mergeCell ref="AD28:AD29"/>
    <mergeCell ref="AD30:AD31"/>
    <mergeCell ref="AD32:AD33"/>
    <mergeCell ref="AD34:AD35"/>
    <mergeCell ref="AD36:AD37"/>
    <mergeCell ref="AD38:AD39"/>
    <mergeCell ref="AD40:AD41"/>
    <mergeCell ref="AD42:AD43"/>
    <mergeCell ref="E71:AC71"/>
    <mergeCell ref="E77:AB77"/>
    <mergeCell ref="AD66:AD69"/>
    <mergeCell ref="AD4:AD5"/>
    <mergeCell ref="AC4:AC5"/>
    <mergeCell ref="AD7:AD8"/>
    <mergeCell ref="AD9:AD10"/>
    <mergeCell ref="AD21:AD22"/>
    <mergeCell ref="AD19:AD20"/>
    <mergeCell ref="AD17:AD18"/>
    <mergeCell ref="AD15:AD16"/>
    <mergeCell ref="AD13:AD14"/>
    <mergeCell ref="AD11:AD12"/>
    <mergeCell ref="B78:C78"/>
    <mergeCell ref="B81:C81"/>
    <mergeCell ref="B55:D55"/>
    <mergeCell ref="E60:AB60"/>
    <mergeCell ref="B57:D57"/>
    <mergeCell ref="B56:D56"/>
    <mergeCell ref="E78:AB78"/>
    <mergeCell ref="B62:D62"/>
    <mergeCell ref="B63:D63"/>
    <mergeCell ref="B61:D61"/>
    <mergeCell ref="B60:D60"/>
    <mergeCell ref="B75:C75"/>
    <mergeCell ref="E2:AC2"/>
    <mergeCell ref="B3:B4"/>
    <mergeCell ref="E6:AB6"/>
    <mergeCell ref="C3:D4"/>
    <mergeCell ref="B54:D54"/>
    <mergeCell ref="B53:D53"/>
    <mergeCell ref="E5:AB5"/>
    <mergeCell ref="E53:AB53"/>
    <mergeCell ref="E27:AB27"/>
    <mergeCell ref="B47:D47"/>
    <mergeCell ref="B48:D48"/>
    <mergeCell ref="AD72:AD73"/>
    <mergeCell ref="E73:AC73"/>
    <mergeCell ref="B97:C97"/>
    <mergeCell ref="B98:C99"/>
    <mergeCell ref="B101:C101"/>
    <mergeCell ref="E72:AC72"/>
    <mergeCell ref="AD74:AD75"/>
    <mergeCell ref="B86:C86"/>
    <mergeCell ref="E75:AC75"/>
    <mergeCell ref="E76:AC76"/>
    <mergeCell ref="E74:AC74"/>
    <mergeCell ref="B94:C95"/>
    <mergeCell ref="B93:C93"/>
    <mergeCell ref="B90:C91"/>
    <mergeCell ref="B89:C89"/>
    <mergeCell ref="B87:C87"/>
  </mergeCells>
  <pageMargins left="0.7" right="0.7" top="0.56333333333333335" bottom="0.44958333333333333" header="0.3" footer="0.3"/>
  <pageSetup paperSize="9" scale="52" orientation="landscape" r:id="rId1"/>
  <headerFooter>
    <oddHeader>&amp;L[Projekttitel]
&amp;C[Unternehmen]
&amp;R&amp;D</oddHeader>
    <oddFooter>&amp;R&amp;P von &amp;N</oddFooter>
  </headerFooter>
  <ignoredErrors>
    <ignoredError sqref="E7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35"/>
  <sheetViews>
    <sheetView tabSelected="1" zoomScaleNormal="100" workbookViewId="0">
      <pane xSplit="4" ySplit="4" topLeftCell="H17" activePane="bottomRight" state="frozen"/>
      <selection pane="topRight" activeCell="E1" sqref="E1"/>
      <selection pane="bottomLeft" activeCell="A5" sqref="A5"/>
      <selection pane="bottomRight" activeCell="K91" sqref="K91"/>
    </sheetView>
  </sheetViews>
  <sheetFormatPr baseColWidth="10" defaultColWidth="14.42578125" defaultRowHeight="15.75" customHeight="1"/>
  <cols>
    <col min="1" max="1" width="0.85546875" style="126" customWidth="1"/>
    <col min="2" max="2" width="21" style="126" customWidth="1"/>
    <col min="3" max="3" width="9.85546875" style="126" bestFit="1" customWidth="1"/>
    <col min="4" max="4" width="11.85546875" style="126" bestFit="1" customWidth="1"/>
    <col min="5" max="28" width="7.85546875" style="126" customWidth="1"/>
    <col min="29" max="30" width="11.42578125" style="126" bestFit="1" customWidth="1"/>
    <col min="31" max="16384" width="14.42578125" style="126"/>
  </cols>
  <sheetData>
    <row r="1" spans="1:30" s="125" customFormat="1" ht="13.5" thickBot="1">
      <c r="A1" s="45"/>
      <c r="B1" s="214" t="s">
        <v>61</v>
      </c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</row>
    <row r="2" spans="1:30" ht="12.75">
      <c r="A2" s="45"/>
      <c r="B2" s="177"/>
      <c r="C2" s="180" t="s">
        <v>0</v>
      </c>
      <c r="D2" s="180"/>
      <c r="E2" s="127">
        <v>1</v>
      </c>
      <c r="F2" s="127">
        <v>2</v>
      </c>
      <c r="G2" s="81">
        <v>3</v>
      </c>
      <c r="H2" s="127">
        <v>4</v>
      </c>
      <c r="I2" s="127">
        <v>5</v>
      </c>
      <c r="J2" s="81">
        <v>6</v>
      </c>
      <c r="K2" s="127">
        <v>7</v>
      </c>
      <c r="L2" s="127">
        <v>8</v>
      </c>
      <c r="M2" s="81">
        <v>9</v>
      </c>
      <c r="N2" s="127">
        <v>10</v>
      </c>
      <c r="O2" s="127">
        <v>11</v>
      </c>
      <c r="P2" s="81">
        <v>12</v>
      </c>
      <c r="Q2" s="127">
        <v>13</v>
      </c>
      <c r="R2" s="127">
        <v>14</v>
      </c>
      <c r="S2" s="81">
        <v>15</v>
      </c>
      <c r="T2" s="127">
        <v>16</v>
      </c>
      <c r="U2" s="127">
        <v>17</v>
      </c>
      <c r="V2" s="81">
        <v>18</v>
      </c>
      <c r="W2" s="127">
        <v>19</v>
      </c>
      <c r="X2" s="127">
        <v>20</v>
      </c>
      <c r="Y2" s="81">
        <v>21</v>
      </c>
      <c r="Z2" s="127">
        <v>22</v>
      </c>
      <c r="AA2" s="127">
        <v>23</v>
      </c>
      <c r="AB2" s="81">
        <v>24</v>
      </c>
      <c r="AC2" s="127"/>
      <c r="AD2" s="61"/>
    </row>
    <row r="3" spans="1:30" ht="12.75">
      <c r="A3" s="45"/>
      <c r="B3" s="178"/>
      <c r="C3" s="181"/>
      <c r="D3" s="181"/>
      <c r="E3" s="46" t="s">
        <v>1</v>
      </c>
      <c r="F3" s="46" t="s">
        <v>1</v>
      </c>
      <c r="G3" s="47" t="s">
        <v>1</v>
      </c>
      <c r="H3" s="46" t="s">
        <v>1</v>
      </c>
      <c r="I3" s="46" t="s">
        <v>1</v>
      </c>
      <c r="J3" s="47" t="s">
        <v>1</v>
      </c>
      <c r="K3" s="46" t="s">
        <v>1</v>
      </c>
      <c r="L3" s="46" t="s">
        <v>1</v>
      </c>
      <c r="M3" s="47" t="s">
        <v>1</v>
      </c>
      <c r="N3" s="46" t="s">
        <v>1</v>
      </c>
      <c r="O3" s="46" t="s">
        <v>1</v>
      </c>
      <c r="P3" s="47" t="s">
        <v>1</v>
      </c>
      <c r="Q3" s="46" t="s">
        <v>1</v>
      </c>
      <c r="R3" s="46" t="s">
        <v>1</v>
      </c>
      <c r="S3" s="47" t="s">
        <v>1</v>
      </c>
      <c r="T3" s="46" t="s">
        <v>1</v>
      </c>
      <c r="U3" s="46" t="s">
        <v>1</v>
      </c>
      <c r="V3" s="47" t="s">
        <v>1</v>
      </c>
      <c r="W3" s="46" t="s">
        <v>1</v>
      </c>
      <c r="X3" s="46" t="s">
        <v>1</v>
      </c>
      <c r="Y3" s="47" t="s">
        <v>1</v>
      </c>
      <c r="Z3" s="46" t="s">
        <v>1</v>
      </c>
      <c r="AA3" s="46" t="s">
        <v>1</v>
      </c>
      <c r="AB3" s="47" t="s">
        <v>1</v>
      </c>
      <c r="AC3" s="181" t="s">
        <v>2</v>
      </c>
      <c r="AD3" s="205" t="s">
        <v>45</v>
      </c>
    </row>
    <row r="4" spans="1:30" ht="12.75">
      <c r="A4" s="45"/>
      <c r="B4" s="82" t="s">
        <v>3</v>
      </c>
      <c r="C4" s="83"/>
      <c r="D4" s="83"/>
      <c r="E4" s="186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1"/>
      <c r="AD4" s="205"/>
    </row>
    <row r="5" spans="1:30" ht="12.75">
      <c r="A5" s="45"/>
      <c r="B5" s="84" t="s">
        <v>48</v>
      </c>
      <c r="C5" s="75" t="s">
        <v>49</v>
      </c>
      <c r="D5" s="76" t="s">
        <v>37</v>
      </c>
      <c r="E5" s="179" t="s">
        <v>50</v>
      </c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69"/>
      <c r="AD5" s="98"/>
    </row>
    <row r="6" spans="1:30" ht="12.75">
      <c r="A6" s="45"/>
      <c r="B6" s="62" t="s">
        <v>4</v>
      </c>
      <c r="C6" s="30">
        <v>0</v>
      </c>
      <c r="D6" s="26">
        <f>C6-D7</f>
        <v>0</v>
      </c>
      <c r="E6" s="34">
        <v>10</v>
      </c>
      <c r="F6" s="34">
        <v>0</v>
      </c>
      <c r="G6" s="48">
        <v>0</v>
      </c>
      <c r="H6" s="34">
        <v>0</v>
      </c>
      <c r="I6" s="34">
        <v>0</v>
      </c>
      <c r="J6" s="48">
        <v>0</v>
      </c>
      <c r="K6" s="34">
        <v>0</v>
      </c>
      <c r="L6" s="34">
        <v>0</v>
      </c>
      <c r="M6" s="48">
        <v>0</v>
      </c>
      <c r="N6" s="34">
        <v>0</v>
      </c>
      <c r="O6" s="34">
        <v>0</v>
      </c>
      <c r="P6" s="48">
        <v>0</v>
      </c>
      <c r="Q6" s="34">
        <v>0</v>
      </c>
      <c r="R6" s="34">
        <v>0</v>
      </c>
      <c r="S6" s="48">
        <v>0</v>
      </c>
      <c r="T6" s="34">
        <v>0</v>
      </c>
      <c r="U6" s="34">
        <v>0</v>
      </c>
      <c r="V6" s="48">
        <v>0</v>
      </c>
      <c r="W6" s="34">
        <v>0</v>
      </c>
      <c r="X6" s="34">
        <v>0</v>
      </c>
      <c r="Y6" s="48">
        <v>0</v>
      </c>
      <c r="Z6" s="34">
        <v>0</v>
      </c>
      <c r="AA6" s="34">
        <v>0</v>
      </c>
      <c r="AB6" s="48">
        <v>0</v>
      </c>
      <c r="AC6" s="42">
        <f>SUM(E6:AB6)*D6</f>
        <v>0</v>
      </c>
      <c r="AD6" s="163">
        <v>0</v>
      </c>
    </row>
    <row r="7" spans="1:30" ht="12.75">
      <c r="A7" s="45"/>
      <c r="B7" s="63" t="s">
        <v>34</v>
      </c>
      <c r="C7" s="31">
        <v>0</v>
      </c>
      <c r="D7" s="27">
        <f>C7*C6</f>
        <v>0</v>
      </c>
      <c r="E7" s="49">
        <f>E6*$D$7</f>
        <v>0</v>
      </c>
      <c r="F7" s="49">
        <f t="shared" ref="F7:AB7" si="0">F6*$D$7</f>
        <v>0</v>
      </c>
      <c r="G7" s="50">
        <f t="shared" si="0"/>
        <v>0</v>
      </c>
      <c r="H7" s="49">
        <f t="shared" si="0"/>
        <v>0</v>
      </c>
      <c r="I7" s="49">
        <f t="shared" si="0"/>
        <v>0</v>
      </c>
      <c r="J7" s="50">
        <f t="shared" si="0"/>
        <v>0</v>
      </c>
      <c r="K7" s="49">
        <f t="shared" si="0"/>
        <v>0</v>
      </c>
      <c r="L7" s="49">
        <f t="shared" si="0"/>
        <v>0</v>
      </c>
      <c r="M7" s="50">
        <f t="shared" si="0"/>
        <v>0</v>
      </c>
      <c r="N7" s="49">
        <f t="shared" si="0"/>
        <v>0</v>
      </c>
      <c r="O7" s="49">
        <f t="shared" si="0"/>
        <v>0</v>
      </c>
      <c r="P7" s="50">
        <f t="shared" si="0"/>
        <v>0</v>
      </c>
      <c r="Q7" s="49">
        <f t="shared" si="0"/>
        <v>0</v>
      </c>
      <c r="R7" s="49">
        <f t="shared" si="0"/>
        <v>0</v>
      </c>
      <c r="S7" s="50">
        <f t="shared" si="0"/>
        <v>0</v>
      </c>
      <c r="T7" s="49">
        <f t="shared" si="0"/>
        <v>0</v>
      </c>
      <c r="U7" s="49">
        <f t="shared" si="0"/>
        <v>0</v>
      </c>
      <c r="V7" s="50">
        <f t="shared" si="0"/>
        <v>0</v>
      </c>
      <c r="W7" s="49">
        <f t="shared" si="0"/>
        <v>0</v>
      </c>
      <c r="X7" s="49">
        <f t="shared" si="0"/>
        <v>0</v>
      </c>
      <c r="Y7" s="50">
        <f t="shared" si="0"/>
        <v>0</v>
      </c>
      <c r="Z7" s="49">
        <f t="shared" si="0"/>
        <v>0</v>
      </c>
      <c r="AA7" s="49">
        <f t="shared" si="0"/>
        <v>0</v>
      </c>
      <c r="AB7" s="50">
        <f t="shared" si="0"/>
        <v>0</v>
      </c>
      <c r="AC7" s="43">
        <f t="shared" ref="AC7:AC23" si="1">SUM(E7:AB7)</f>
        <v>0</v>
      </c>
      <c r="AD7" s="164"/>
    </row>
    <row r="8" spans="1:30" ht="12.75">
      <c r="A8" s="45"/>
      <c r="B8" s="62" t="s">
        <v>5</v>
      </c>
      <c r="C8" s="32">
        <v>0</v>
      </c>
      <c r="D8" s="28">
        <f>C8-D9</f>
        <v>0</v>
      </c>
      <c r="E8" s="35">
        <v>0</v>
      </c>
      <c r="F8" s="35">
        <v>0</v>
      </c>
      <c r="G8" s="51">
        <v>0</v>
      </c>
      <c r="H8" s="35">
        <v>0</v>
      </c>
      <c r="I8" s="35">
        <v>0</v>
      </c>
      <c r="J8" s="51">
        <v>0</v>
      </c>
      <c r="K8" s="35">
        <v>0</v>
      </c>
      <c r="L8" s="35">
        <v>0</v>
      </c>
      <c r="M8" s="51">
        <v>0</v>
      </c>
      <c r="N8" s="35">
        <v>0</v>
      </c>
      <c r="O8" s="35">
        <v>0</v>
      </c>
      <c r="P8" s="51">
        <v>0</v>
      </c>
      <c r="Q8" s="35">
        <v>0</v>
      </c>
      <c r="R8" s="35">
        <v>0</v>
      </c>
      <c r="S8" s="51">
        <v>0</v>
      </c>
      <c r="T8" s="35">
        <v>0</v>
      </c>
      <c r="U8" s="35">
        <v>0</v>
      </c>
      <c r="V8" s="51">
        <v>0</v>
      </c>
      <c r="W8" s="35">
        <v>0</v>
      </c>
      <c r="X8" s="35">
        <v>0</v>
      </c>
      <c r="Y8" s="51">
        <v>0</v>
      </c>
      <c r="Z8" s="35">
        <v>0</v>
      </c>
      <c r="AA8" s="35">
        <v>0</v>
      </c>
      <c r="AB8" s="51">
        <v>0</v>
      </c>
      <c r="AC8" s="42">
        <f>SUM(E8:AB8)*D8</f>
        <v>0</v>
      </c>
      <c r="AD8" s="163">
        <v>0</v>
      </c>
    </row>
    <row r="9" spans="1:30" ht="12.75">
      <c r="A9" s="45"/>
      <c r="B9" s="63" t="s">
        <v>34</v>
      </c>
      <c r="C9" s="31">
        <v>0</v>
      </c>
      <c r="D9" s="27">
        <f>C9*C8</f>
        <v>0</v>
      </c>
      <c r="E9" s="49">
        <f>E8*$D$9</f>
        <v>0</v>
      </c>
      <c r="F9" s="49">
        <f t="shared" ref="F9:AB9" si="2">F8*$D$9</f>
        <v>0</v>
      </c>
      <c r="G9" s="50">
        <f t="shared" si="2"/>
        <v>0</v>
      </c>
      <c r="H9" s="49">
        <f t="shared" si="2"/>
        <v>0</v>
      </c>
      <c r="I9" s="49">
        <f t="shared" si="2"/>
        <v>0</v>
      </c>
      <c r="J9" s="50">
        <f t="shared" si="2"/>
        <v>0</v>
      </c>
      <c r="K9" s="49">
        <f t="shared" si="2"/>
        <v>0</v>
      </c>
      <c r="L9" s="49">
        <f t="shared" si="2"/>
        <v>0</v>
      </c>
      <c r="M9" s="50">
        <f t="shared" si="2"/>
        <v>0</v>
      </c>
      <c r="N9" s="49">
        <f t="shared" si="2"/>
        <v>0</v>
      </c>
      <c r="O9" s="49">
        <f t="shared" si="2"/>
        <v>0</v>
      </c>
      <c r="P9" s="50">
        <f t="shared" si="2"/>
        <v>0</v>
      </c>
      <c r="Q9" s="49">
        <f t="shared" si="2"/>
        <v>0</v>
      </c>
      <c r="R9" s="49">
        <f t="shared" si="2"/>
        <v>0</v>
      </c>
      <c r="S9" s="50">
        <f t="shared" si="2"/>
        <v>0</v>
      </c>
      <c r="T9" s="49">
        <f t="shared" si="2"/>
        <v>0</v>
      </c>
      <c r="U9" s="49">
        <f t="shared" si="2"/>
        <v>0</v>
      </c>
      <c r="V9" s="50">
        <f t="shared" si="2"/>
        <v>0</v>
      </c>
      <c r="W9" s="49">
        <f t="shared" si="2"/>
        <v>0</v>
      </c>
      <c r="X9" s="49">
        <f t="shared" si="2"/>
        <v>0</v>
      </c>
      <c r="Y9" s="50">
        <f t="shared" si="2"/>
        <v>0</v>
      </c>
      <c r="Z9" s="49">
        <f t="shared" si="2"/>
        <v>0</v>
      </c>
      <c r="AA9" s="49">
        <f t="shared" si="2"/>
        <v>0</v>
      </c>
      <c r="AB9" s="50">
        <f t="shared" si="2"/>
        <v>0</v>
      </c>
      <c r="AC9" s="43">
        <f t="shared" si="1"/>
        <v>0</v>
      </c>
      <c r="AD9" s="164"/>
    </row>
    <row r="10" spans="1:30" ht="12.75">
      <c r="A10" s="45"/>
      <c r="B10" s="64" t="s">
        <v>6</v>
      </c>
      <c r="C10" s="32">
        <v>0</v>
      </c>
      <c r="D10" s="28">
        <f>C10-D11</f>
        <v>0</v>
      </c>
      <c r="E10" s="35">
        <v>0</v>
      </c>
      <c r="F10" s="35">
        <v>0</v>
      </c>
      <c r="G10" s="51">
        <v>0</v>
      </c>
      <c r="H10" s="35">
        <v>0</v>
      </c>
      <c r="I10" s="35">
        <v>0</v>
      </c>
      <c r="J10" s="51">
        <v>0</v>
      </c>
      <c r="K10" s="35">
        <v>0</v>
      </c>
      <c r="L10" s="35">
        <v>0</v>
      </c>
      <c r="M10" s="51">
        <v>0</v>
      </c>
      <c r="N10" s="35">
        <v>0</v>
      </c>
      <c r="O10" s="35">
        <v>0</v>
      </c>
      <c r="P10" s="51">
        <v>0</v>
      </c>
      <c r="Q10" s="35">
        <v>0</v>
      </c>
      <c r="R10" s="35">
        <v>0</v>
      </c>
      <c r="S10" s="51">
        <v>0</v>
      </c>
      <c r="T10" s="35">
        <v>0</v>
      </c>
      <c r="U10" s="35">
        <v>0</v>
      </c>
      <c r="V10" s="51">
        <v>0</v>
      </c>
      <c r="W10" s="35">
        <v>0</v>
      </c>
      <c r="X10" s="35">
        <v>0</v>
      </c>
      <c r="Y10" s="51">
        <v>0</v>
      </c>
      <c r="Z10" s="35">
        <v>0</v>
      </c>
      <c r="AA10" s="35">
        <v>0</v>
      </c>
      <c r="AB10" s="51">
        <v>0</v>
      </c>
      <c r="AC10" s="42">
        <f>SUM(E10:AB10)*D10</f>
        <v>0</v>
      </c>
      <c r="AD10" s="163">
        <v>0</v>
      </c>
    </row>
    <row r="11" spans="1:30" ht="12.75">
      <c r="A11" s="45"/>
      <c r="B11" s="63" t="s">
        <v>34</v>
      </c>
      <c r="C11" s="31">
        <v>0</v>
      </c>
      <c r="D11" s="27">
        <f>C11*C10</f>
        <v>0</v>
      </c>
      <c r="E11" s="49">
        <f>E10*$D$11</f>
        <v>0</v>
      </c>
      <c r="F11" s="49">
        <f t="shared" ref="F11:AB11" si="3">F10*$D$11</f>
        <v>0</v>
      </c>
      <c r="G11" s="50">
        <f t="shared" si="3"/>
        <v>0</v>
      </c>
      <c r="H11" s="49">
        <f t="shared" si="3"/>
        <v>0</v>
      </c>
      <c r="I11" s="49">
        <f t="shared" si="3"/>
        <v>0</v>
      </c>
      <c r="J11" s="50">
        <f t="shared" si="3"/>
        <v>0</v>
      </c>
      <c r="K11" s="49">
        <f t="shared" si="3"/>
        <v>0</v>
      </c>
      <c r="L11" s="49">
        <f t="shared" si="3"/>
        <v>0</v>
      </c>
      <c r="M11" s="50">
        <f t="shared" si="3"/>
        <v>0</v>
      </c>
      <c r="N11" s="49">
        <f t="shared" si="3"/>
        <v>0</v>
      </c>
      <c r="O11" s="49">
        <f t="shared" si="3"/>
        <v>0</v>
      </c>
      <c r="P11" s="50">
        <f t="shared" si="3"/>
        <v>0</v>
      </c>
      <c r="Q11" s="49">
        <f t="shared" si="3"/>
        <v>0</v>
      </c>
      <c r="R11" s="49">
        <f t="shared" si="3"/>
        <v>0</v>
      </c>
      <c r="S11" s="50">
        <f t="shared" si="3"/>
        <v>0</v>
      </c>
      <c r="T11" s="49">
        <f t="shared" si="3"/>
        <v>0</v>
      </c>
      <c r="U11" s="49">
        <f t="shared" si="3"/>
        <v>0</v>
      </c>
      <c r="V11" s="50">
        <f t="shared" si="3"/>
        <v>0</v>
      </c>
      <c r="W11" s="49">
        <f t="shared" si="3"/>
        <v>0</v>
      </c>
      <c r="X11" s="49">
        <f t="shared" si="3"/>
        <v>0</v>
      </c>
      <c r="Y11" s="50">
        <f t="shared" si="3"/>
        <v>0</v>
      </c>
      <c r="Z11" s="49">
        <f t="shared" si="3"/>
        <v>0</v>
      </c>
      <c r="AA11" s="49">
        <f t="shared" si="3"/>
        <v>0</v>
      </c>
      <c r="AB11" s="50">
        <f t="shared" si="3"/>
        <v>0</v>
      </c>
      <c r="AC11" s="43">
        <f t="shared" si="1"/>
        <v>0</v>
      </c>
      <c r="AD11" s="164"/>
    </row>
    <row r="12" spans="1:30" ht="12.75">
      <c r="A12" s="45"/>
      <c r="B12" s="62" t="s">
        <v>7</v>
      </c>
      <c r="C12" s="32">
        <v>0</v>
      </c>
      <c r="D12" s="28">
        <f>C12-D13</f>
        <v>0</v>
      </c>
      <c r="E12" s="35">
        <v>0</v>
      </c>
      <c r="F12" s="35">
        <v>0</v>
      </c>
      <c r="G12" s="51">
        <v>0</v>
      </c>
      <c r="H12" s="35">
        <v>0</v>
      </c>
      <c r="I12" s="35">
        <v>0</v>
      </c>
      <c r="J12" s="51">
        <v>0</v>
      </c>
      <c r="K12" s="35">
        <v>0</v>
      </c>
      <c r="L12" s="35">
        <v>0</v>
      </c>
      <c r="M12" s="51">
        <v>0</v>
      </c>
      <c r="N12" s="35">
        <v>0</v>
      </c>
      <c r="O12" s="35">
        <v>0</v>
      </c>
      <c r="P12" s="51">
        <v>0</v>
      </c>
      <c r="Q12" s="35">
        <v>0</v>
      </c>
      <c r="R12" s="35">
        <v>0</v>
      </c>
      <c r="S12" s="51">
        <v>0</v>
      </c>
      <c r="T12" s="35">
        <v>0</v>
      </c>
      <c r="U12" s="35">
        <v>0</v>
      </c>
      <c r="V12" s="51">
        <v>0</v>
      </c>
      <c r="W12" s="35">
        <v>0</v>
      </c>
      <c r="X12" s="35">
        <v>0</v>
      </c>
      <c r="Y12" s="51">
        <v>0</v>
      </c>
      <c r="Z12" s="35">
        <v>0</v>
      </c>
      <c r="AA12" s="35">
        <v>0</v>
      </c>
      <c r="AB12" s="51">
        <v>0</v>
      </c>
      <c r="AC12" s="42">
        <f>SUM(E12:AB12)*D12</f>
        <v>0</v>
      </c>
      <c r="AD12" s="163">
        <v>0</v>
      </c>
    </row>
    <row r="13" spans="1:30" ht="12.75">
      <c r="A13" s="45"/>
      <c r="B13" s="63" t="s">
        <v>34</v>
      </c>
      <c r="C13" s="31">
        <v>0</v>
      </c>
      <c r="D13" s="27">
        <f>C13*C12</f>
        <v>0</v>
      </c>
      <c r="E13" s="49">
        <f>E12*$D$13</f>
        <v>0</v>
      </c>
      <c r="F13" s="49">
        <f t="shared" ref="F13:AB13" si="4">F12*$D$13</f>
        <v>0</v>
      </c>
      <c r="G13" s="50">
        <f t="shared" si="4"/>
        <v>0</v>
      </c>
      <c r="H13" s="49">
        <f t="shared" si="4"/>
        <v>0</v>
      </c>
      <c r="I13" s="49">
        <f t="shared" si="4"/>
        <v>0</v>
      </c>
      <c r="J13" s="50">
        <f t="shared" si="4"/>
        <v>0</v>
      </c>
      <c r="K13" s="49">
        <f t="shared" si="4"/>
        <v>0</v>
      </c>
      <c r="L13" s="49">
        <f t="shared" si="4"/>
        <v>0</v>
      </c>
      <c r="M13" s="50">
        <f t="shared" si="4"/>
        <v>0</v>
      </c>
      <c r="N13" s="49">
        <f t="shared" si="4"/>
        <v>0</v>
      </c>
      <c r="O13" s="49">
        <f t="shared" si="4"/>
        <v>0</v>
      </c>
      <c r="P13" s="50">
        <f t="shared" si="4"/>
        <v>0</v>
      </c>
      <c r="Q13" s="49">
        <f t="shared" si="4"/>
        <v>0</v>
      </c>
      <c r="R13" s="49">
        <f t="shared" si="4"/>
        <v>0</v>
      </c>
      <c r="S13" s="50">
        <f t="shared" si="4"/>
        <v>0</v>
      </c>
      <c r="T13" s="49">
        <f t="shared" si="4"/>
        <v>0</v>
      </c>
      <c r="U13" s="49">
        <f t="shared" si="4"/>
        <v>0</v>
      </c>
      <c r="V13" s="50">
        <f t="shared" si="4"/>
        <v>0</v>
      </c>
      <c r="W13" s="49">
        <f t="shared" si="4"/>
        <v>0</v>
      </c>
      <c r="X13" s="49">
        <f t="shared" si="4"/>
        <v>0</v>
      </c>
      <c r="Y13" s="50">
        <f t="shared" si="4"/>
        <v>0</v>
      </c>
      <c r="Z13" s="49">
        <f t="shared" si="4"/>
        <v>0</v>
      </c>
      <c r="AA13" s="49">
        <f t="shared" si="4"/>
        <v>0</v>
      </c>
      <c r="AB13" s="50">
        <f t="shared" si="4"/>
        <v>0</v>
      </c>
      <c r="AC13" s="43">
        <f t="shared" si="1"/>
        <v>0</v>
      </c>
      <c r="AD13" s="164"/>
    </row>
    <row r="14" spans="1:30" ht="12.75">
      <c r="A14" s="45"/>
      <c r="B14" s="64" t="s">
        <v>8</v>
      </c>
      <c r="C14" s="32">
        <v>0</v>
      </c>
      <c r="D14" s="28">
        <f>C14-D15</f>
        <v>0</v>
      </c>
      <c r="E14" s="35">
        <v>0</v>
      </c>
      <c r="F14" s="35">
        <v>0</v>
      </c>
      <c r="G14" s="51">
        <v>0</v>
      </c>
      <c r="H14" s="35">
        <v>0</v>
      </c>
      <c r="I14" s="35">
        <v>0</v>
      </c>
      <c r="J14" s="51">
        <v>0</v>
      </c>
      <c r="K14" s="35">
        <v>0</v>
      </c>
      <c r="L14" s="35">
        <v>0</v>
      </c>
      <c r="M14" s="51">
        <v>0</v>
      </c>
      <c r="N14" s="35">
        <v>0</v>
      </c>
      <c r="O14" s="35">
        <v>0</v>
      </c>
      <c r="P14" s="51">
        <v>0</v>
      </c>
      <c r="Q14" s="35">
        <v>0</v>
      </c>
      <c r="R14" s="35">
        <v>0</v>
      </c>
      <c r="S14" s="51">
        <v>0</v>
      </c>
      <c r="T14" s="35">
        <v>0</v>
      </c>
      <c r="U14" s="35">
        <v>0</v>
      </c>
      <c r="V14" s="51">
        <v>0</v>
      </c>
      <c r="W14" s="35">
        <v>0</v>
      </c>
      <c r="X14" s="35">
        <v>0</v>
      </c>
      <c r="Y14" s="51">
        <v>0</v>
      </c>
      <c r="Z14" s="35">
        <v>0</v>
      </c>
      <c r="AA14" s="35">
        <v>0</v>
      </c>
      <c r="AB14" s="51">
        <v>0</v>
      </c>
      <c r="AC14" s="42">
        <f>SUM(E14:AB14)*D14</f>
        <v>0</v>
      </c>
      <c r="AD14" s="163">
        <v>0</v>
      </c>
    </row>
    <row r="15" spans="1:30" ht="12.75">
      <c r="A15" s="45"/>
      <c r="B15" s="63" t="s">
        <v>34</v>
      </c>
      <c r="C15" s="31">
        <v>0</v>
      </c>
      <c r="D15" s="27">
        <f>C15*C14</f>
        <v>0</v>
      </c>
      <c r="E15" s="49">
        <f>E14*$D$15</f>
        <v>0</v>
      </c>
      <c r="F15" s="49">
        <f t="shared" ref="F15:AB15" si="5">F14*$D$15</f>
        <v>0</v>
      </c>
      <c r="G15" s="50">
        <f t="shared" si="5"/>
        <v>0</v>
      </c>
      <c r="H15" s="49">
        <f t="shared" si="5"/>
        <v>0</v>
      </c>
      <c r="I15" s="49">
        <f t="shared" si="5"/>
        <v>0</v>
      </c>
      <c r="J15" s="50">
        <f t="shared" si="5"/>
        <v>0</v>
      </c>
      <c r="K15" s="49">
        <f t="shared" si="5"/>
        <v>0</v>
      </c>
      <c r="L15" s="49">
        <f t="shared" si="5"/>
        <v>0</v>
      </c>
      <c r="M15" s="50">
        <f t="shared" si="5"/>
        <v>0</v>
      </c>
      <c r="N15" s="49">
        <f t="shared" si="5"/>
        <v>0</v>
      </c>
      <c r="O15" s="49">
        <f t="shared" si="5"/>
        <v>0</v>
      </c>
      <c r="P15" s="50">
        <f t="shared" si="5"/>
        <v>0</v>
      </c>
      <c r="Q15" s="49">
        <f t="shared" si="5"/>
        <v>0</v>
      </c>
      <c r="R15" s="49">
        <f t="shared" si="5"/>
        <v>0</v>
      </c>
      <c r="S15" s="50">
        <f t="shared" si="5"/>
        <v>0</v>
      </c>
      <c r="T15" s="49">
        <f t="shared" si="5"/>
        <v>0</v>
      </c>
      <c r="U15" s="49">
        <f t="shared" si="5"/>
        <v>0</v>
      </c>
      <c r="V15" s="50">
        <f t="shared" si="5"/>
        <v>0</v>
      </c>
      <c r="W15" s="49">
        <f t="shared" si="5"/>
        <v>0</v>
      </c>
      <c r="X15" s="49">
        <f t="shared" si="5"/>
        <v>0</v>
      </c>
      <c r="Y15" s="50">
        <f t="shared" si="5"/>
        <v>0</v>
      </c>
      <c r="Z15" s="49">
        <f t="shared" si="5"/>
        <v>0</v>
      </c>
      <c r="AA15" s="49">
        <f t="shared" si="5"/>
        <v>0</v>
      </c>
      <c r="AB15" s="50">
        <f t="shared" si="5"/>
        <v>0</v>
      </c>
      <c r="AC15" s="43">
        <f t="shared" si="1"/>
        <v>0</v>
      </c>
      <c r="AD15" s="164"/>
    </row>
    <row r="16" spans="1:30" ht="12.75">
      <c r="A16" s="45"/>
      <c r="B16" s="65" t="s">
        <v>9</v>
      </c>
      <c r="C16" s="32">
        <v>0</v>
      </c>
      <c r="D16" s="28">
        <f>C16-D17</f>
        <v>0</v>
      </c>
      <c r="E16" s="35">
        <v>0</v>
      </c>
      <c r="F16" s="35">
        <v>0</v>
      </c>
      <c r="G16" s="51">
        <v>0</v>
      </c>
      <c r="H16" s="35">
        <v>0</v>
      </c>
      <c r="I16" s="35">
        <v>0</v>
      </c>
      <c r="J16" s="51">
        <v>0</v>
      </c>
      <c r="K16" s="35">
        <v>0</v>
      </c>
      <c r="L16" s="35">
        <v>0</v>
      </c>
      <c r="M16" s="51">
        <v>0</v>
      </c>
      <c r="N16" s="35">
        <v>0</v>
      </c>
      <c r="O16" s="35">
        <v>0</v>
      </c>
      <c r="P16" s="51">
        <v>0</v>
      </c>
      <c r="Q16" s="35">
        <v>0</v>
      </c>
      <c r="R16" s="35">
        <v>0</v>
      </c>
      <c r="S16" s="51">
        <v>0</v>
      </c>
      <c r="T16" s="35">
        <v>0</v>
      </c>
      <c r="U16" s="35">
        <v>0</v>
      </c>
      <c r="V16" s="51">
        <v>0</v>
      </c>
      <c r="W16" s="35">
        <v>0</v>
      </c>
      <c r="X16" s="35">
        <v>0</v>
      </c>
      <c r="Y16" s="51">
        <v>0</v>
      </c>
      <c r="Z16" s="35">
        <v>0</v>
      </c>
      <c r="AA16" s="35">
        <v>0</v>
      </c>
      <c r="AB16" s="51">
        <v>0</v>
      </c>
      <c r="AC16" s="42">
        <f>SUM(E16:AB16)*D16</f>
        <v>0</v>
      </c>
      <c r="AD16" s="163">
        <v>0</v>
      </c>
    </row>
    <row r="17" spans="1:30" ht="12.75">
      <c r="A17" s="45"/>
      <c r="B17" s="63" t="s">
        <v>34</v>
      </c>
      <c r="C17" s="31">
        <v>0</v>
      </c>
      <c r="D17" s="27">
        <f>C17*C16</f>
        <v>0</v>
      </c>
      <c r="E17" s="49">
        <f>E16*$D$17</f>
        <v>0</v>
      </c>
      <c r="F17" s="49">
        <f t="shared" ref="F17:AB17" si="6">F16*$D$17</f>
        <v>0</v>
      </c>
      <c r="G17" s="50">
        <f t="shared" si="6"/>
        <v>0</v>
      </c>
      <c r="H17" s="49">
        <f t="shared" si="6"/>
        <v>0</v>
      </c>
      <c r="I17" s="49">
        <f t="shared" si="6"/>
        <v>0</v>
      </c>
      <c r="J17" s="50">
        <f t="shared" si="6"/>
        <v>0</v>
      </c>
      <c r="K17" s="49">
        <f t="shared" si="6"/>
        <v>0</v>
      </c>
      <c r="L17" s="49">
        <f t="shared" si="6"/>
        <v>0</v>
      </c>
      <c r="M17" s="50">
        <f t="shared" si="6"/>
        <v>0</v>
      </c>
      <c r="N17" s="49">
        <f t="shared" si="6"/>
        <v>0</v>
      </c>
      <c r="O17" s="49">
        <f t="shared" si="6"/>
        <v>0</v>
      </c>
      <c r="P17" s="50">
        <f t="shared" si="6"/>
        <v>0</v>
      </c>
      <c r="Q17" s="49">
        <f t="shared" si="6"/>
        <v>0</v>
      </c>
      <c r="R17" s="49">
        <f t="shared" si="6"/>
        <v>0</v>
      </c>
      <c r="S17" s="50">
        <f t="shared" si="6"/>
        <v>0</v>
      </c>
      <c r="T17" s="49">
        <f t="shared" si="6"/>
        <v>0</v>
      </c>
      <c r="U17" s="49">
        <f t="shared" si="6"/>
        <v>0</v>
      </c>
      <c r="V17" s="50">
        <f t="shared" si="6"/>
        <v>0</v>
      </c>
      <c r="W17" s="49">
        <f t="shared" si="6"/>
        <v>0</v>
      </c>
      <c r="X17" s="49">
        <f t="shared" si="6"/>
        <v>0</v>
      </c>
      <c r="Y17" s="50">
        <f t="shared" si="6"/>
        <v>0</v>
      </c>
      <c r="Z17" s="49">
        <f t="shared" si="6"/>
        <v>0</v>
      </c>
      <c r="AA17" s="49">
        <f t="shared" si="6"/>
        <v>0</v>
      </c>
      <c r="AB17" s="50">
        <f t="shared" si="6"/>
        <v>0</v>
      </c>
      <c r="AC17" s="43">
        <f t="shared" si="1"/>
        <v>0</v>
      </c>
      <c r="AD17" s="164"/>
    </row>
    <row r="18" spans="1:30" ht="12.75">
      <c r="A18" s="45"/>
      <c r="B18" s="64" t="s">
        <v>10</v>
      </c>
      <c r="C18" s="32">
        <v>0</v>
      </c>
      <c r="D18" s="28">
        <f>C18-D19</f>
        <v>0</v>
      </c>
      <c r="E18" s="35">
        <v>0</v>
      </c>
      <c r="F18" s="35">
        <v>0</v>
      </c>
      <c r="G18" s="51">
        <v>0</v>
      </c>
      <c r="H18" s="35">
        <v>0</v>
      </c>
      <c r="I18" s="35">
        <v>0</v>
      </c>
      <c r="J18" s="51">
        <v>0</v>
      </c>
      <c r="K18" s="35">
        <v>0</v>
      </c>
      <c r="L18" s="35">
        <v>0</v>
      </c>
      <c r="M18" s="51">
        <v>0</v>
      </c>
      <c r="N18" s="35">
        <v>0</v>
      </c>
      <c r="O18" s="35">
        <v>0</v>
      </c>
      <c r="P18" s="51">
        <v>0</v>
      </c>
      <c r="Q18" s="35">
        <v>0</v>
      </c>
      <c r="R18" s="35">
        <v>0</v>
      </c>
      <c r="S18" s="51">
        <v>0</v>
      </c>
      <c r="T18" s="35">
        <v>0</v>
      </c>
      <c r="U18" s="35">
        <v>0</v>
      </c>
      <c r="V18" s="51">
        <v>0</v>
      </c>
      <c r="W18" s="35">
        <v>0</v>
      </c>
      <c r="X18" s="35">
        <v>0</v>
      </c>
      <c r="Y18" s="51">
        <v>0</v>
      </c>
      <c r="Z18" s="35">
        <v>0</v>
      </c>
      <c r="AA18" s="35">
        <v>0</v>
      </c>
      <c r="AB18" s="51">
        <v>0</v>
      </c>
      <c r="AC18" s="42">
        <f>SUM(E18:AB18)*D18</f>
        <v>0</v>
      </c>
      <c r="AD18" s="163">
        <v>0</v>
      </c>
    </row>
    <row r="19" spans="1:30" ht="12.75">
      <c r="A19" s="45"/>
      <c r="B19" s="63" t="s">
        <v>34</v>
      </c>
      <c r="C19" s="31">
        <v>0</v>
      </c>
      <c r="D19" s="27">
        <f>C19*C18</f>
        <v>0</v>
      </c>
      <c r="E19" s="49">
        <f>E18*$D$19</f>
        <v>0</v>
      </c>
      <c r="F19" s="49">
        <f t="shared" ref="F19:AB19" si="7">F18*$D$19</f>
        <v>0</v>
      </c>
      <c r="G19" s="50">
        <f t="shared" si="7"/>
        <v>0</v>
      </c>
      <c r="H19" s="49">
        <f t="shared" si="7"/>
        <v>0</v>
      </c>
      <c r="I19" s="49">
        <f t="shared" si="7"/>
        <v>0</v>
      </c>
      <c r="J19" s="50">
        <f t="shared" si="7"/>
        <v>0</v>
      </c>
      <c r="K19" s="49">
        <f t="shared" si="7"/>
        <v>0</v>
      </c>
      <c r="L19" s="49">
        <f t="shared" si="7"/>
        <v>0</v>
      </c>
      <c r="M19" s="50">
        <f t="shared" si="7"/>
        <v>0</v>
      </c>
      <c r="N19" s="49">
        <f t="shared" si="7"/>
        <v>0</v>
      </c>
      <c r="O19" s="49">
        <f t="shared" si="7"/>
        <v>0</v>
      </c>
      <c r="P19" s="50">
        <f t="shared" si="7"/>
        <v>0</v>
      </c>
      <c r="Q19" s="49">
        <f t="shared" si="7"/>
        <v>0</v>
      </c>
      <c r="R19" s="49">
        <f t="shared" si="7"/>
        <v>0</v>
      </c>
      <c r="S19" s="50">
        <f t="shared" si="7"/>
        <v>0</v>
      </c>
      <c r="T19" s="49">
        <f t="shared" si="7"/>
        <v>0</v>
      </c>
      <c r="U19" s="49">
        <f t="shared" si="7"/>
        <v>0</v>
      </c>
      <c r="V19" s="50">
        <f t="shared" si="7"/>
        <v>0</v>
      </c>
      <c r="W19" s="49">
        <f t="shared" si="7"/>
        <v>0</v>
      </c>
      <c r="X19" s="49">
        <f t="shared" si="7"/>
        <v>0</v>
      </c>
      <c r="Y19" s="50">
        <f t="shared" si="7"/>
        <v>0</v>
      </c>
      <c r="Z19" s="49">
        <f t="shared" si="7"/>
        <v>0</v>
      </c>
      <c r="AA19" s="49">
        <f t="shared" si="7"/>
        <v>0</v>
      </c>
      <c r="AB19" s="50">
        <f t="shared" si="7"/>
        <v>0</v>
      </c>
      <c r="AC19" s="43">
        <f t="shared" si="1"/>
        <v>0</v>
      </c>
      <c r="AD19" s="164"/>
    </row>
    <row r="20" spans="1:30" ht="12.75">
      <c r="A20" s="45"/>
      <c r="B20" s="64" t="s">
        <v>10</v>
      </c>
      <c r="C20" s="33">
        <v>0</v>
      </c>
      <c r="D20" s="29">
        <f>C20-D21</f>
        <v>0</v>
      </c>
      <c r="E20" s="36">
        <v>0</v>
      </c>
      <c r="F20" s="36">
        <v>0</v>
      </c>
      <c r="G20" s="52">
        <v>0</v>
      </c>
      <c r="H20" s="36">
        <v>0</v>
      </c>
      <c r="I20" s="36">
        <v>0</v>
      </c>
      <c r="J20" s="52">
        <v>0</v>
      </c>
      <c r="K20" s="36">
        <v>0</v>
      </c>
      <c r="L20" s="36">
        <v>0</v>
      </c>
      <c r="M20" s="52">
        <v>0</v>
      </c>
      <c r="N20" s="36">
        <v>0</v>
      </c>
      <c r="O20" s="36">
        <v>0</v>
      </c>
      <c r="P20" s="52">
        <v>0</v>
      </c>
      <c r="Q20" s="36">
        <v>0</v>
      </c>
      <c r="R20" s="36">
        <v>0</v>
      </c>
      <c r="S20" s="52">
        <v>0</v>
      </c>
      <c r="T20" s="36">
        <v>0</v>
      </c>
      <c r="U20" s="36">
        <v>0</v>
      </c>
      <c r="V20" s="52">
        <v>0</v>
      </c>
      <c r="W20" s="36">
        <v>0</v>
      </c>
      <c r="X20" s="36">
        <v>0</v>
      </c>
      <c r="Y20" s="52">
        <v>0</v>
      </c>
      <c r="Z20" s="36">
        <v>0</v>
      </c>
      <c r="AA20" s="36">
        <v>0</v>
      </c>
      <c r="AB20" s="52">
        <v>0</v>
      </c>
      <c r="AC20" s="42">
        <f>SUM(E20:AB20)*D20</f>
        <v>0</v>
      </c>
      <c r="AD20" s="163">
        <v>0</v>
      </c>
    </row>
    <row r="21" spans="1:30" ht="12.75">
      <c r="A21" s="45"/>
      <c r="B21" s="63" t="s">
        <v>34</v>
      </c>
      <c r="C21" s="31">
        <v>0</v>
      </c>
      <c r="D21" s="27">
        <f>C21*C20</f>
        <v>0</v>
      </c>
      <c r="E21" s="49">
        <f>E20*$D$21</f>
        <v>0</v>
      </c>
      <c r="F21" s="49">
        <f t="shared" ref="F21:AB21" si="8">F20*$D$21</f>
        <v>0</v>
      </c>
      <c r="G21" s="50">
        <f t="shared" si="8"/>
        <v>0</v>
      </c>
      <c r="H21" s="49">
        <f t="shared" si="8"/>
        <v>0</v>
      </c>
      <c r="I21" s="49">
        <f t="shared" si="8"/>
        <v>0</v>
      </c>
      <c r="J21" s="50">
        <f t="shared" si="8"/>
        <v>0</v>
      </c>
      <c r="K21" s="49">
        <f t="shared" si="8"/>
        <v>0</v>
      </c>
      <c r="L21" s="49">
        <f t="shared" si="8"/>
        <v>0</v>
      </c>
      <c r="M21" s="50">
        <f t="shared" si="8"/>
        <v>0</v>
      </c>
      <c r="N21" s="49">
        <f t="shared" si="8"/>
        <v>0</v>
      </c>
      <c r="O21" s="49">
        <f t="shared" si="8"/>
        <v>0</v>
      </c>
      <c r="P21" s="50">
        <f t="shared" si="8"/>
        <v>0</v>
      </c>
      <c r="Q21" s="49">
        <f t="shared" si="8"/>
        <v>0</v>
      </c>
      <c r="R21" s="49">
        <f t="shared" si="8"/>
        <v>0</v>
      </c>
      <c r="S21" s="50">
        <f t="shared" si="8"/>
        <v>0</v>
      </c>
      <c r="T21" s="49">
        <f t="shared" si="8"/>
        <v>0</v>
      </c>
      <c r="U21" s="49">
        <f t="shared" si="8"/>
        <v>0</v>
      </c>
      <c r="V21" s="50">
        <f t="shared" si="8"/>
        <v>0</v>
      </c>
      <c r="W21" s="49">
        <f t="shared" si="8"/>
        <v>0</v>
      </c>
      <c r="X21" s="49">
        <f t="shared" si="8"/>
        <v>0</v>
      </c>
      <c r="Y21" s="50">
        <f t="shared" si="8"/>
        <v>0</v>
      </c>
      <c r="Z21" s="49">
        <f t="shared" si="8"/>
        <v>0</v>
      </c>
      <c r="AA21" s="49">
        <f t="shared" si="8"/>
        <v>0</v>
      </c>
      <c r="AB21" s="50">
        <f t="shared" si="8"/>
        <v>0</v>
      </c>
      <c r="AC21" s="43">
        <f t="shared" si="1"/>
        <v>0</v>
      </c>
      <c r="AD21" s="164"/>
    </row>
    <row r="22" spans="1:30" ht="12.75">
      <c r="A22" s="45"/>
      <c r="B22" s="66" t="s">
        <v>36</v>
      </c>
      <c r="C22" s="53"/>
      <c r="D22" s="53"/>
      <c r="E22" s="54">
        <f>E6*$D$6+E8*$D$8+E10*$D$10+E12*$D$12+E14*$D$14+E16*$D$16+E18*$D$18+E20*$D$20</f>
        <v>0</v>
      </c>
      <c r="F22" s="54">
        <f t="shared" ref="F22:AB22" si="9">F6*$D$6+F8*$D$8+F10*$D$10+F12*$D$12+F14*$D$14+F16*$D$16+F18*$D$18+F20*$D$20</f>
        <v>0</v>
      </c>
      <c r="G22" s="54">
        <f t="shared" si="9"/>
        <v>0</v>
      </c>
      <c r="H22" s="54">
        <f t="shared" si="9"/>
        <v>0</v>
      </c>
      <c r="I22" s="54">
        <f t="shared" si="9"/>
        <v>0</v>
      </c>
      <c r="J22" s="54">
        <f t="shared" si="9"/>
        <v>0</v>
      </c>
      <c r="K22" s="54">
        <f t="shared" si="9"/>
        <v>0</v>
      </c>
      <c r="L22" s="54">
        <f t="shared" si="9"/>
        <v>0</v>
      </c>
      <c r="M22" s="54">
        <f t="shared" si="9"/>
        <v>0</v>
      </c>
      <c r="N22" s="54">
        <f t="shared" si="9"/>
        <v>0</v>
      </c>
      <c r="O22" s="54">
        <f t="shared" si="9"/>
        <v>0</v>
      </c>
      <c r="P22" s="54">
        <f t="shared" si="9"/>
        <v>0</v>
      </c>
      <c r="Q22" s="54">
        <f t="shared" si="9"/>
        <v>0</v>
      </c>
      <c r="R22" s="54">
        <f t="shared" si="9"/>
        <v>0</v>
      </c>
      <c r="S22" s="54">
        <f t="shared" si="9"/>
        <v>0</v>
      </c>
      <c r="T22" s="54">
        <f t="shared" si="9"/>
        <v>0</v>
      </c>
      <c r="U22" s="54">
        <f t="shared" si="9"/>
        <v>0</v>
      </c>
      <c r="V22" s="54">
        <f t="shared" si="9"/>
        <v>0</v>
      </c>
      <c r="W22" s="54">
        <f t="shared" si="9"/>
        <v>0</v>
      </c>
      <c r="X22" s="54">
        <f t="shared" si="9"/>
        <v>0</v>
      </c>
      <c r="Y22" s="54">
        <f t="shared" si="9"/>
        <v>0</v>
      </c>
      <c r="Z22" s="54">
        <f t="shared" si="9"/>
        <v>0</v>
      </c>
      <c r="AA22" s="54">
        <f t="shared" si="9"/>
        <v>0</v>
      </c>
      <c r="AB22" s="54">
        <f t="shared" si="9"/>
        <v>0</v>
      </c>
      <c r="AC22" s="54">
        <f t="shared" ref="AC22" si="10">SUM(E22:AB22)</f>
        <v>0</v>
      </c>
      <c r="AD22" s="206" t="s">
        <v>45</v>
      </c>
    </row>
    <row r="23" spans="1:30" ht="12.75">
      <c r="A23" s="45"/>
      <c r="B23" s="67" t="s">
        <v>35</v>
      </c>
      <c r="C23" s="55"/>
      <c r="D23" s="55"/>
      <c r="E23" s="56">
        <f>E7+E9+E11+E13+E15+E17+E19+E21</f>
        <v>0</v>
      </c>
      <c r="F23" s="56">
        <f t="shared" ref="F23:AB23" si="11">F7+F9+F11+F13+F15+F17+F19+F21</f>
        <v>0</v>
      </c>
      <c r="G23" s="57">
        <f t="shared" si="11"/>
        <v>0</v>
      </c>
      <c r="H23" s="56">
        <f t="shared" si="11"/>
        <v>0</v>
      </c>
      <c r="I23" s="56">
        <f t="shared" si="11"/>
        <v>0</v>
      </c>
      <c r="J23" s="57">
        <f t="shared" si="11"/>
        <v>0</v>
      </c>
      <c r="K23" s="56">
        <f t="shared" si="11"/>
        <v>0</v>
      </c>
      <c r="L23" s="56">
        <f t="shared" si="11"/>
        <v>0</v>
      </c>
      <c r="M23" s="57">
        <f t="shared" si="11"/>
        <v>0</v>
      </c>
      <c r="N23" s="56">
        <f t="shared" si="11"/>
        <v>0</v>
      </c>
      <c r="O23" s="56">
        <f t="shared" si="11"/>
        <v>0</v>
      </c>
      <c r="P23" s="57">
        <f t="shared" si="11"/>
        <v>0</v>
      </c>
      <c r="Q23" s="56">
        <f t="shared" si="11"/>
        <v>0</v>
      </c>
      <c r="R23" s="56">
        <f t="shared" si="11"/>
        <v>0</v>
      </c>
      <c r="S23" s="57">
        <f t="shared" si="11"/>
        <v>0</v>
      </c>
      <c r="T23" s="56">
        <f t="shared" si="11"/>
        <v>0</v>
      </c>
      <c r="U23" s="56">
        <f t="shared" si="11"/>
        <v>0</v>
      </c>
      <c r="V23" s="57">
        <f t="shared" si="11"/>
        <v>0</v>
      </c>
      <c r="W23" s="56">
        <f t="shared" si="11"/>
        <v>0</v>
      </c>
      <c r="X23" s="56">
        <f t="shared" si="11"/>
        <v>0</v>
      </c>
      <c r="Y23" s="57">
        <f t="shared" si="11"/>
        <v>0</v>
      </c>
      <c r="Z23" s="56">
        <f t="shared" si="11"/>
        <v>0</v>
      </c>
      <c r="AA23" s="56">
        <f t="shared" si="11"/>
        <v>0</v>
      </c>
      <c r="AB23" s="57">
        <f t="shared" si="11"/>
        <v>0</v>
      </c>
      <c r="AC23" s="56">
        <f t="shared" si="1"/>
        <v>0</v>
      </c>
      <c r="AD23" s="207"/>
    </row>
    <row r="24" spans="1:30" ht="12.75">
      <c r="A24" s="45"/>
      <c r="B24" s="85" t="s">
        <v>38</v>
      </c>
      <c r="C24" s="77"/>
      <c r="D24" s="77"/>
      <c r="E24" s="78">
        <f>E22+E23</f>
        <v>0</v>
      </c>
      <c r="F24" s="78">
        <f t="shared" ref="F24:AB24" si="12">F22+F23</f>
        <v>0</v>
      </c>
      <c r="G24" s="79">
        <f t="shared" si="12"/>
        <v>0</v>
      </c>
      <c r="H24" s="78">
        <f t="shared" si="12"/>
        <v>0</v>
      </c>
      <c r="I24" s="78">
        <f t="shared" si="12"/>
        <v>0</v>
      </c>
      <c r="J24" s="79">
        <f t="shared" si="12"/>
        <v>0</v>
      </c>
      <c r="K24" s="78">
        <f t="shared" si="12"/>
        <v>0</v>
      </c>
      <c r="L24" s="78">
        <f t="shared" si="12"/>
        <v>0</v>
      </c>
      <c r="M24" s="79">
        <f t="shared" si="12"/>
        <v>0</v>
      </c>
      <c r="N24" s="78">
        <f t="shared" si="12"/>
        <v>0</v>
      </c>
      <c r="O24" s="78">
        <f t="shared" si="12"/>
        <v>0</v>
      </c>
      <c r="P24" s="79">
        <f t="shared" si="12"/>
        <v>0</v>
      </c>
      <c r="Q24" s="78">
        <f t="shared" si="12"/>
        <v>0</v>
      </c>
      <c r="R24" s="78">
        <f t="shared" si="12"/>
        <v>0</v>
      </c>
      <c r="S24" s="79">
        <f t="shared" si="12"/>
        <v>0</v>
      </c>
      <c r="T24" s="78">
        <f t="shared" si="12"/>
        <v>0</v>
      </c>
      <c r="U24" s="78">
        <f t="shared" si="12"/>
        <v>0</v>
      </c>
      <c r="V24" s="79">
        <f t="shared" si="12"/>
        <v>0</v>
      </c>
      <c r="W24" s="78">
        <f t="shared" si="12"/>
        <v>0</v>
      </c>
      <c r="X24" s="78">
        <f t="shared" si="12"/>
        <v>0</v>
      </c>
      <c r="Y24" s="79">
        <f t="shared" si="12"/>
        <v>0</v>
      </c>
      <c r="Z24" s="78">
        <f t="shared" si="12"/>
        <v>0</v>
      </c>
      <c r="AA24" s="78">
        <f t="shared" si="12"/>
        <v>0</v>
      </c>
      <c r="AB24" s="79">
        <f t="shared" si="12"/>
        <v>0</v>
      </c>
      <c r="AC24" s="78">
        <f>AC22+AC23</f>
        <v>0</v>
      </c>
      <c r="AD24" s="99">
        <f>AD6+AD8+AD10+AD12+AD14+AD16+AD18+AD20</f>
        <v>0</v>
      </c>
    </row>
    <row r="25" spans="1:30" ht="12.75">
      <c r="A25" s="45"/>
      <c r="B25" s="86"/>
      <c r="C25" s="87"/>
      <c r="D25" s="8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100"/>
      <c r="AD25" s="101"/>
    </row>
    <row r="26" spans="1:30" ht="12.75">
      <c r="A26" s="45"/>
      <c r="B26" s="88" t="s">
        <v>12</v>
      </c>
      <c r="C26" s="75" t="s">
        <v>49</v>
      </c>
      <c r="D26" s="76" t="s">
        <v>37</v>
      </c>
      <c r="E26" s="179" t="s">
        <v>50</v>
      </c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69"/>
      <c r="AD26" s="98"/>
    </row>
    <row r="27" spans="1:30" ht="12.75">
      <c r="A27" s="45"/>
      <c r="B27" s="62" t="s">
        <v>5</v>
      </c>
      <c r="C27" s="30">
        <v>0</v>
      </c>
      <c r="D27" s="26">
        <f>C27-D28</f>
        <v>0</v>
      </c>
      <c r="E27" s="34">
        <v>0</v>
      </c>
      <c r="F27" s="34">
        <v>0</v>
      </c>
      <c r="G27" s="58">
        <v>0</v>
      </c>
      <c r="H27" s="34">
        <v>10</v>
      </c>
      <c r="I27" s="34">
        <v>10</v>
      </c>
      <c r="J27" s="58">
        <v>10</v>
      </c>
      <c r="K27" s="34">
        <v>0</v>
      </c>
      <c r="L27" s="34">
        <v>0</v>
      </c>
      <c r="M27" s="58">
        <v>0</v>
      </c>
      <c r="N27" s="34">
        <v>0</v>
      </c>
      <c r="O27" s="34">
        <v>0</v>
      </c>
      <c r="P27" s="58">
        <v>0</v>
      </c>
      <c r="Q27" s="34">
        <v>0</v>
      </c>
      <c r="R27" s="34">
        <v>0</v>
      </c>
      <c r="S27" s="58">
        <v>0</v>
      </c>
      <c r="T27" s="34">
        <v>0</v>
      </c>
      <c r="U27" s="34">
        <v>0</v>
      </c>
      <c r="V27" s="58">
        <v>0</v>
      </c>
      <c r="W27" s="34">
        <v>0</v>
      </c>
      <c r="X27" s="34">
        <v>0</v>
      </c>
      <c r="Y27" s="58">
        <v>0</v>
      </c>
      <c r="Z27" s="34">
        <v>0</v>
      </c>
      <c r="AA27" s="34">
        <v>0</v>
      </c>
      <c r="AB27" s="58">
        <v>0</v>
      </c>
      <c r="AC27" s="42">
        <f>SUM(E27:AB27)*D27</f>
        <v>0</v>
      </c>
      <c r="AD27" s="163">
        <v>0</v>
      </c>
    </row>
    <row r="28" spans="1:30" ht="12.75">
      <c r="A28" s="45"/>
      <c r="B28" s="63" t="s">
        <v>34</v>
      </c>
      <c r="C28" s="31">
        <v>0</v>
      </c>
      <c r="D28" s="27">
        <f>C28*C27</f>
        <v>0</v>
      </c>
      <c r="E28" s="49">
        <f>E27*$D$28</f>
        <v>0</v>
      </c>
      <c r="F28" s="49">
        <f t="shared" ref="F28:AB28" si="13">F27*$D$28</f>
        <v>0</v>
      </c>
      <c r="G28" s="59">
        <f t="shared" si="13"/>
        <v>0</v>
      </c>
      <c r="H28" s="49">
        <f t="shared" si="13"/>
        <v>0</v>
      </c>
      <c r="I28" s="49">
        <f t="shared" si="13"/>
        <v>0</v>
      </c>
      <c r="J28" s="59">
        <f t="shared" si="13"/>
        <v>0</v>
      </c>
      <c r="K28" s="49">
        <f t="shared" si="13"/>
        <v>0</v>
      </c>
      <c r="L28" s="49">
        <f t="shared" si="13"/>
        <v>0</v>
      </c>
      <c r="M28" s="59">
        <f t="shared" si="13"/>
        <v>0</v>
      </c>
      <c r="N28" s="49">
        <f t="shared" si="13"/>
        <v>0</v>
      </c>
      <c r="O28" s="49">
        <f t="shared" si="13"/>
        <v>0</v>
      </c>
      <c r="P28" s="59">
        <f t="shared" si="13"/>
        <v>0</v>
      </c>
      <c r="Q28" s="49">
        <f t="shared" si="13"/>
        <v>0</v>
      </c>
      <c r="R28" s="49">
        <f t="shared" si="13"/>
        <v>0</v>
      </c>
      <c r="S28" s="59">
        <f t="shared" si="13"/>
        <v>0</v>
      </c>
      <c r="T28" s="49">
        <f t="shared" si="13"/>
        <v>0</v>
      </c>
      <c r="U28" s="49">
        <f t="shared" si="13"/>
        <v>0</v>
      </c>
      <c r="V28" s="59">
        <f t="shared" si="13"/>
        <v>0</v>
      </c>
      <c r="W28" s="49">
        <f t="shared" si="13"/>
        <v>0</v>
      </c>
      <c r="X28" s="49">
        <f t="shared" si="13"/>
        <v>0</v>
      </c>
      <c r="Y28" s="59">
        <f t="shared" si="13"/>
        <v>0</v>
      </c>
      <c r="Z28" s="49">
        <f t="shared" si="13"/>
        <v>0</v>
      </c>
      <c r="AA28" s="49">
        <f t="shared" si="13"/>
        <v>0</v>
      </c>
      <c r="AB28" s="59">
        <f t="shared" si="13"/>
        <v>0</v>
      </c>
      <c r="AC28" s="43">
        <f t="shared" ref="AC28" si="14">SUM(E28:AB28)</f>
        <v>0</v>
      </c>
      <c r="AD28" s="164"/>
    </row>
    <row r="29" spans="1:30" ht="12.75">
      <c r="A29" s="45"/>
      <c r="B29" s="64" t="s">
        <v>6</v>
      </c>
      <c r="C29" s="32">
        <v>0</v>
      </c>
      <c r="D29" s="28">
        <f>C29-D30</f>
        <v>0</v>
      </c>
      <c r="E29" s="35">
        <v>0</v>
      </c>
      <c r="F29" s="35">
        <v>0</v>
      </c>
      <c r="G29" s="60">
        <v>0</v>
      </c>
      <c r="H29" s="35">
        <v>0</v>
      </c>
      <c r="I29" s="35">
        <v>0</v>
      </c>
      <c r="J29" s="60">
        <v>0</v>
      </c>
      <c r="K29" s="35">
        <v>0</v>
      </c>
      <c r="L29" s="35">
        <v>0</v>
      </c>
      <c r="M29" s="60">
        <v>0</v>
      </c>
      <c r="N29" s="35">
        <v>0</v>
      </c>
      <c r="O29" s="35">
        <v>0</v>
      </c>
      <c r="P29" s="60">
        <v>0</v>
      </c>
      <c r="Q29" s="35">
        <v>0</v>
      </c>
      <c r="R29" s="35">
        <v>0</v>
      </c>
      <c r="S29" s="60">
        <v>0</v>
      </c>
      <c r="T29" s="35">
        <v>0</v>
      </c>
      <c r="U29" s="35">
        <v>0</v>
      </c>
      <c r="V29" s="60">
        <v>0</v>
      </c>
      <c r="W29" s="35">
        <v>0</v>
      </c>
      <c r="X29" s="35">
        <v>0</v>
      </c>
      <c r="Y29" s="60">
        <v>0</v>
      </c>
      <c r="Z29" s="35">
        <v>0</v>
      </c>
      <c r="AA29" s="35">
        <v>0</v>
      </c>
      <c r="AB29" s="60">
        <v>0</v>
      </c>
      <c r="AC29" s="42">
        <f>SUM(E29:AB29)*D29</f>
        <v>0</v>
      </c>
      <c r="AD29" s="163">
        <v>0</v>
      </c>
    </row>
    <row r="30" spans="1:30" ht="12.75">
      <c r="A30" s="45"/>
      <c r="B30" s="63" t="s">
        <v>34</v>
      </c>
      <c r="C30" s="31">
        <v>0</v>
      </c>
      <c r="D30" s="27">
        <f>C30*C29</f>
        <v>0</v>
      </c>
      <c r="E30" s="49">
        <f>E29*$D$30</f>
        <v>0</v>
      </c>
      <c r="F30" s="49">
        <f t="shared" ref="F30:AB30" si="15">F29*$D$30</f>
        <v>0</v>
      </c>
      <c r="G30" s="59">
        <f t="shared" si="15"/>
        <v>0</v>
      </c>
      <c r="H30" s="49">
        <f t="shared" si="15"/>
        <v>0</v>
      </c>
      <c r="I30" s="49">
        <f t="shared" si="15"/>
        <v>0</v>
      </c>
      <c r="J30" s="59">
        <f t="shared" si="15"/>
        <v>0</v>
      </c>
      <c r="K30" s="49">
        <f t="shared" si="15"/>
        <v>0</v>
      </c>
      <c r="L30" s="49">
        <f t="shared" si="15"/>
        <v>0</v>
      </c>
      <c r="M30" s="59">
        <f t="shared" si="15"/>
        <v>0</v>
      </c>
      <c r="N30" s="49">
        <f t="shared" si="15"/>
        <v>0</v>
      </c>
      <c r="O30" s="49">
        <f t="shared" si="15"/>
        <v>0</v>
      </c>
      <c r="P30" s="59">
        <f t="shared" si="15"/>
        <v>0</v>
      </c>
      <c r="Q30" s="49">
        <f t="shared" si="15"/>
        <v>0</v>
      </c>
      <c r="R30" s="49">
        <f t="shared" si="15"/>
        <v>0</v>
      </c>
      <c r="S30" s="59">
        <f t="shared" si="15"/>
        <v>0</v>
      </c>
      <c r="T30" s="49">
        <f t="shared" si="15"/>
        <v>0</v>
      </c>
      <c r="U30" s="49">
        <f t="shared" si="15"/>
        <v>0</v>
      </c>
      <c r="V30" s="59">
        <f t="shared" si="15"/>
        <v>0</v>
      </c>
      <c r="W30" s="49">
        <f t="shared" si="15"/>
        <v>0</v>
      </c>
      <c r="X30" s="49">
        <f t="shared" si="15"/>
        <v>0</v>
      </c>
      <c r="Y30" s="59">
        <f t="shared" si="15"/>
        <v>0</v>
      </c>
      <c r="Z30" s="49">
        <f t="shared" si="15"/>
        <v>0</v>
      </c>
      <c r="AA30" s="49">
        <f t="shared" si="15"/>
        <v>0</v>
      </c>
      <c r="AB30" s="59">
        <f t="shared" si="15"/>
        <v>0</v>
      </c>
      <c r="AC30" s="43">
        <f t="shared" ref="AC30" si="16">SUM(E30:AB30)</f>
        <v>0</v>
      </c>
      <c r="AD30" s="164"/>
    </row>
    <row r="31" spans="1:30" ht="12.75">
      <c r="A31" s="45"/>
      <c r="B31" s="65" t="s">
        <v>14</v>
      </c>
      <c r="C31" s="32">
        <v>0</v>
      </c>
      <c r="D31" s="28">
        <f>C31-D32</f>
        <v>0</v>
      </c>
      <c r="E31" s="35">
        <v>0</v>
      </c>
      <c r="F31" s="35">
        <v>0</v>
      </c>
      <c r="G31" s="60">
        <v>0</v>
      </c>
      <c r="H31" s="35">
        <v>0</v>
      </c>
      <c r="I31" s="35">
        <v>0</v>
      </c>
      <c r="J31" s="60">
        <v>0</v>
      </c>
      <c r="K31" s="35">
        <v>0</v>
      </c>
      <c r="L31" s="35">
        <v>0</v>
      </c>
      <c r="M31" s="60">
        <v>0</v>
      </c>
      <c r="N31" s="35">
        <v>0</v>
      </c>
      <c r="O31" s="35">
        <v>0</v>
      </c>
      <c r="P31" s="60">
        <v>0</v>
      </c>
      <c r="Q31" s="35">
        <v>0</v>
      </c>
      <c r="R31" s="35">
        <v>0</v>
      </c>
      <c r="S31" s="60">
        <v>0</v>
      </c>
      <c r="T31" s="35">
        <v>0</v>
      </c>
      <c r="U31" s="35">
        <v>0</v>
      </c>
      <c r="V31" s="60">
        <v>0</v>
      </c>
      <c r="W31" s="35">
        <v>0</v>
      </c>
      <c r="X31" s="35">
        <v>0</v>
      </c>
      <c r="Y31" s="60">
        <v>0</v>
      </c>
      <c r="Z31" s="35">
        <v>0</v>
      </c>
      <c r="AA31" s="35">
        <v>0</v>
      </c>
      <c r="AB31" s="60">
        <v>0</v>
      </c>
      <c r="AC31" s="42">
        <f>SUM(E31:AB31)*D31</f>
        <v>0</v>
      </c>
      <c r="AD31" s="163">
        <v>0</v>
      </c>
    </row>
    <row r="32" spans="1:30" ht="12.75">
      <c r="A32" s="45"/>
      <c r="B32" s="63" t="s">
        <v>34</v>
      </c>
      <c r="C32" s="31">
        <v>0</v>
      </c>
      <c r="D32" s="27">
        <f>C32*C31</f>
        <v>0</v>
      </c>
      <c r="E32" s="49">
        <f>E31*$D$32</f>
        <v>0</v>
      </c>
      <c r="F32" s="49">
        <f t="shared" ref="F32:AB32" si="17">F31*$D$32</f>
        <v>0</v>
      </c>
      <c r="G32" s="59">
        <f t="shared" si="17"/>
        <v>0</v>
      </c>
      <c r="H32" s="49">
        <f t="shared" si="17"/>
        <v>0</v>
      </c>
      <c r="I32" s="49">
        <f t="shared" si="17"/>
        <v>0</v>
      </c>
      <c r="J32" s="59">
        <f t="shared" si="17"/>
        <v>0</v>
      </c>
      <c r="K32" s="49">
        <f t="shared" si="17"/>
        <v>0</v>
      </c>
      <c r="L32" s="49">
        <f t="shared" si="17"/>
        <v>0</v>
      </c>
      <c r="M32" s="59">
        <f t="shared" si="17"/>
        <v>0</v>
      </c>
      <c r="N32" s="49">
        <f t="shared" si="17"/>
        <v>0</v>
      </c>
      <c r="O32" s="49">
        <f t="shared" si="17"/>
        <v>0</v>
      </c>
      <c r="P32" s="59">
        <f t="shared" si="17"/>
        <v>0</v>
      </c>
      <c r="Q32" s="49">
        <f t="shared" si="17"/>
        <v>0</v>
      </c>
      <c r="R32" s="49">
        <f t="shared" si="17"/>
        <v>0</v>
      </c>
      <c r="S32" s="59">
        <f t="shared" si="17"/>
        <v>0</v>
      </c>
      <c r="T32" s="49">
        <f t="shared" si="17"/>
        <v>0</v>
      </c>
      <c r="U32" s="49">
        <f t="shared" si="17"/>
        <v>0</v>
      </c>
      <c r="V32" s="59">
        <f t="shared" si="17"/>
        <v>0</v>
      </c>
      <c r="W32" s="49">
        <f t="shared" si="17"/>
        <v>0</v>
      </c>
      <c r="X32" s="49">
        <f t="shared" si="17"/>
        <v>0</v>
      </c>
      <c r="Y32" s="59">
        <f t="shared" si="17"/>
        <v>0</v>
      </c>
      <c r="Z32" s="49">
        <f t="shared" si="17"/>
        <v>0</v>
      </c>
      <c r="AA32" s="49">
        <f t="shared" si="17"/>
        <v>0</v>
      </c>
      <c r="AB32" s="59">
        <f t="shared" si="17"/>
        <v>0</v>
      </c>
      <c r="AC32" s="43">
        <f t="shared" ref="AC32" si="18">SUM(E32:AB32)</f>
        <v>0</v>
      </c>
      <c r="AD32" s="164"/>
    </row>
    <row r="33" spans="1:30" ht="12.75">
      <c r="A33" s="45"/>
      <c r="B33" s="64" t="s">
        <v>9</v>
      </c>
      <c r="C33" s="32">
        <v>0</v>
      </c>
      <c r="D33" s="28">
        <f>C33-D34</f>
        <v>0</v>
      </c>
      <c r="E33" s="35">
        <v>0</v>
      </c>
      <c r="F33" s="35">
        <v>0</v>
      </c>
      <c r="G33" s="60">
        <v>0</v>
      </c>
      <c r="H33" s="35">
        <v>0</v>
      </c>
      <c r="I33" s="35">
        <v>0</v>
      </c>
      <c r="J33" s="60">
        <v>0</v>
      </c>
      <c r="K33" s="35">
        <v>0</v>
      </c>
      <c r="L33" s="35">
        <v>0</v>
      </c>
      <c r="M33" s="60">
        <v>0</v>
      </c>
      <c r="N33" s="35">
        <v>0</v>
      </c>
      <c r="O33" s="35">
        <v>0</v>
      </c>
      <c r="P33" s="60">
        <v>0</v>
      </c>
      <c r="Q33" s="35">
        <v>0</v>
      </c>
      <c r="R33" s="35">
        <v>0</v>
      </c>
      <c r="S33" s="60">
        <v>0</v>
      </c>
      <c r="T33" s="35">
        <v>0</v>
      </c>
      <c r="U33" s="35">
        <v>0</v>
      </c>
      <c r="V33" s="60">
        <v>0</v>
      </c>
      <c r="W33" s="35">
        <v>0</v>
      </c>
      <c r="X33" s="35">
        <v>0</v>
      </c>
      <c r="Y33" s="60">
        <v>0</v>
      </c>
      <c r="Z33" s="35">
        <v>0</v>
      </c>
      <c r="AA33" s="35">
        <v>0</v>
      </c>
      <c r="AB33" s="60">
        <v>0</v>
      </c>
      <c r="AC33" s="42">
        <f>SUM(E33:AB33)*D33</f>
        <v>0</v>
      </c>
      <c r="AD33" s="208">
        <v>0</v>
      </c>
    </row>
    <row r="34" spans="1:30" ht="12.75">
      <c r="A34" s="45"/>
      <c r="B34" s="63" t="s">
        <v>34</v>
      </c>
      <c r="C34" s="31">
        <v>0</v>
      </c>
      <c r="D34" s="27">
        <f>C34*C33</f>
        <v>0</v>
      </c>
      <c r="E34" s="49">
        <f>E33*$D$34</f>
        <v>0</v>
      </c>
      <c r="F34" s="49">
        <f t="shared" ref="F34:AB34" si="19">F33*$D$34</f>
        <v>0</v>
      </c>
      <c r="G34" s="59">
        <f t="shared" si="19"/>
        <v>0</v>
      </c>
      <c r="H34" s="49">
        <f t="shared" si="19"/>
        <v>0</v>
      </c>
      <c r="I34" s="49">
        <f t="shared" si="19"/>
        <v>0</v>
      </c>
      <c r="J34" s="59">
        <f t="shared" si="19"/>
        <v>0</v>
      </c>
      <c r="K34" s="49">
        <f t="shared" si="19"/>
        <v>0</v>
      </c>
      <c r="L34" s="49">
        <f t="shared" si="19"/>
        <v>0</v>
      </c>
      <c r="M34" s="59">
        <f t="shared" si="19"/>
        <v>0</v>
      </c>
      <c r="N34" s="49">
        <f t="shared" si="19"/>
        <v>0</v>
      </c>
      <c r="O34" s="49">
        <f t="shared" si="19"/>
        <v>0</v>
      </c>
      <c r="P34" s="59">
        <f t="shared" si="19"/>
        <v>0</v>
      </c>
      <c r="Q34" s="49">
        <f t="shared" si="19"/>
        <v>0</v>
      </c>
      <c r="R34" s="49">
        <f t="shared" si="19"/>
        <v>0</v>
      </c>
      <c r="S34" s="59">
        <f t="shared" si="19"/>
        <v>0</v>
      </c>
      <c r="T34" s="49">
        <f t="shared" si="19"/>
        <v>0</v>
      </c>
      <c r="U34" s="49">
        <f t="shared" si="19"/>
        <v>0</v>
      </c>
      <c r="V34" s="59">
        <f t="shared" si="19"/>
        <v>0</v>
      </c>
      <c r="W34" s="49">
        <f t="shared" si="19"/>
        <v>0</v>
      </c>
      <c r="X34" s="49">
        <f t="shared" si="19"/>
        <v>0</v>
      </c>
      <c r="Y34" s="59">
        <f t="shared" si="19"/>
        <v>0</v>
      </c>
      <c r="Z34" s="49">
        <f t="shared" si="19"/>
        <v>0</v>
      </c>
      <c r="AA34" s="49">
        <f t="shared" si="19"/>
        <v>0</v>
      </c>
      <c r="AB34" s="59">
        <f t="shared" si="19"/>
        <v>0</v>
      </c>
      <c r="AC34" s="43">
        <f t="shared" ref="AC34" si="20">SUM(E34:AB34)</f>
        <v>0</v>
      </c>
      <c r="AD34" s="164"/>
    </row>
    <row r="35" spans="1:30" ht="12.75">
      <c r="A35" s="45"/>
      <c r="B35" s="62" t="s">
        <v>4</v>
      </c>
      <c r="C35" s="32">
        <v>0</v>
      </c>
      <c r="D35" s="28">
        <f>C35-D36</f>
        <v>0</v>
      </c>
      <c r="E35" s="35">
        <v>0</v>
      </c>
      <c r="F35" s="35">
        <v>0</v>
      </c>
      <c r="G35" s="60">
        <v>0</v>
      </c>
      <c r="H35" s="35">
        <v>0</v>
      </c>
      <c r="I35" s="35">
        <v>0</v>
      </c>
      <c r="J35" s="60">
        <v>0</v>
      </c>
      <c r="K35" s="35">
        <v>0</v>
      </c>
      <c r="L35" s="35">
        <v>0</v>
      </c>
      <c r="M35" s="60">
        <v>0</v>
      </c>
      <c r="N35" s="35">
        <v>0</v>
      </c>
      <c r="O35" s="35">
        <v>0</v>
      </c>
      <c r="P35" s="60">
        <v>0</v>
      </c>
      <c r="Q35" s="35">
        <v>0</v>
      </c>
      <c r="R35" s="35">
        <v>0</v>
      </c>
      <c r="S35" s="60">
        <v>0</v>
      </c>
      <c r="T35" s="35">
        <v>0</v>
      </c>
      <c r="U35" s="35">
        <v>0</v>
      </c>
      <c r="V35" s="60">
        <v>0</v>
      </c>
      <c r="W35" s="35">
        <v>0</v>
      </c>
      <c r="X35" s="35">
        <v>0</v>
      </c>
      <c r="Y35" s="60">
        <v>0</v>
      </c>
      <c r="Z35" s="35">
        <v>0</v>
      </c>
      <c r="AA35" s="35">
        <v>0</v>
      </c>
      <c r="AB35" s="60">
        <v>0</v>
      </c>
      <c r="AC35" s="42">
        <f>SUM(E35:AB35)*D35</f>
        <v>0</v>
      </c>
      <c r="AD35" s="163">
        <v>0</v>
      </c>
    </row>
    <row r="36" spans="1:30" ht="12.75">
      <c r="A36" s="45"/>
      <c r="B36" s="63" t="s">
        <v>34</v>
      </c>
      <c r="C36" s="31">
        <v>0</v>
      </c>
      <c r="D36" s="27">
        <f>C36*C35</f>
        <v>0</v>
      </c>
      <c r="E36" s="49">
        <f>E35*$D$36</f>
        <v>0</v>
      </c>
      <c r="F36" s="49">
        <f t="shared" ref="F36:AB36" si="21">F35*$D$36</f>
        <v>0</v>
      </c>
      <c r="G36" s="59">
        <f t="shared" si="21"/>
        <v>0</v>
      </c>
      <c r="H36" s="49">
        <f t="shared" si="21"/>
        <v>0</v>
      </c>
      <c r="I36" s="49">
        <f t="shared" si="21"/>
        <v>0</v>
      </c>
      <c r="J36" s="59">
        <f t="shared" si="21"/>
        <v>0</v>
      </c>
      <c r="K36" s="49">
        <f t="shared" si="21"/>
        <v>0</v>
      </c>
      <c r="L36" s="49">
        <f t="shared" si="21"/>
        <v>0</v>
      </c>
      <c r="M36" s="59">
        <f t="shared" si="21"/>
        <v>0</v>
      </c>
      <c r="N36" s="49">
        <f t="shared" si="21"/>
        <v>0</v>
      </c>
      <c r="O36" s="49">
        <f t="shared" si="21"/>
        <v>0</v>
      </c>
      <c r="P36" s="59">
        <f t="shared" si="21"/>
        <v>0</v>
      </c>
      <c r="Q36" s="49">
        <f t="shared" si="21"/>
        <v>0</v>
      </c>
      <c r="R36" s="49">
        <f t="shared" si="21"/>
        <v>0</v>
      </c>
      <c r="S36" s="59">
        <f t="shared" si="21"/>
        <v>0</v>
      </c>
      <c r="T36" s="49">
        <f t="shared" si="21"/>
        <v>0</v>
      </c>
      <c r="U36" s="49">
        <f t="shared" si="21"/>
        <v>0</v>
      </c>
      <c r="V36" s="59">
        <f t="shared" si="21"/>
        <v>0</v>
      </c>
      <c r="W36" s="49">
        <f t="shared" si="21"/>
        <v>0</v>
      </c>
      <c r="X36" s="49">
        <f t="shared" si="21"/>
        <v>0</v>
      </c>
      <c r="Y36" s="59">
        <f t="shared" si="21"/>
        <v>0</v>
      </c>
      <c r="Z36" s="49">
        <f t="shared" si="21"/>
        <v>0</v>
      </c>
      <c r="AA36" s="49">
        <f t="shared" si="21"/>
        <v>0</v>
      </c>
      <c r="AB36" s="59">
        <f t="shared" si="21"/>
        <v>0</v>
      </c>
      <c r="AC36" s="43">
        <f t="shared" ref="AC36" si="22">SUM(E36:AB36)</f>
        <v>0</v>
      </c>
      <c r="AD36" s="164"/>
    </row>
    <row r="37" spans="1:30" ht="12.75">
      <c r="A37" s="45"/>
      <c r="B37" s="64" t="s">
        <v>51</v>
      </c>
      <c r="C37" s="32">
        <v>0</v>
      </c>
      <c r="D37" s="28">
        <f>C37-D38</f>
        <v>0</v>
      </c>
      <c r="E37" s="35">
        <v>0</v>
      </c>
      <c r="F37" s="35">
        <v>0</v>
      </c>
      <c r="G37" s="60">
        <v>0</v>
      </c>
      <c r="H37" s="35">
        <v>0</v>
      </c>
      <c r="I37" s="35">
        <v>0</v>
      </c>
      <c r="J37" s="60">
        <v>0</v>
      </c>
      <c r="K37" s="35">
        <v>0</v>
      </c>
      <c r="L37" s="35">
        <v>0</v>
      </c>
      <c r="M37" s="60">
        <v>0</v>
      </c>
      <c r="N37" s="35">
        <v>0</v>
      </c>
      <c r="O37" s="35">
        <v>0</v>
      </c>
      <c r="P37" s="60">
        <v>0</v>
      </c>
      <c r="Q37" s="35">
        <v>0</v>
      </c>
      <c r="R37" s="35">
        <v>0</v>
      </c>
      <c r="S37" s="60">
        <v>0</v>
      </c>
      <c r="T37" s="35">
        <v>0</v>
      </c>
      <c r="U37" s="35">
        <v>0</v>
      </c>
      <c r="V37" s="60">
        <v>0</v>
      </c>
      <c r="W37" s="35">
        <v>0</v>
      </c>
      <c r="X37" s="35">
        <v>0</v>
      </c>
      <c r="Y37" s="60">
        <v>0</v>
      </c>
      <c r="Z37" s="35">
        <v>0</v>
      </c>
      <c r="AA37" s="35">
        <v>0</v>
      </c>
      <c r="AB37" s="60">
        <v>0</v>
      </c>
      <c r="AC37" s="42">
        <f>SUM(E37:AB37)*D37</f>
        <v>0</v>
      </c>
      <c r="AD37" s="163">
        <v>0</v>
      </c>
    </row>
    <row r="38" spans="1:30" ht="12.75">
      <c r="A38" s="45"/>
      <c r="B38" s="63" t="s">
        <v>34</v>
      </c>
      <c r="C38" s="31">
        <v>0</v>
      </c>
      <c r="D38" s="27">
        <f>C38*C37</f>
        <v>0</v>
      </c>
      <c r="E38" s="49">
        <f>E37*$D$38</f>
        <v>0</v>
      </c>
      <c r="F38" s="49">
        <f t="shared" ref="F38:AB38" si="23">F37*$D$38</f>
        <v>0</v>
      </c>
      <c r="G38" s="59">
        <f t="shared" si="23"/>
        <v>0</v>
      </c>
      <c r="H38" s="49">
        <f t="shared" si="23"/>
        <v>0</v>
      </c>
      <c r="I38" s="49">
        <f t="shared" si="23"/>
        <v>0</v>
      </c>
      <c r="J38" s="59">
        <f t="shared" si="23"/>
        <v>0</v>
      </c>
      <c r="K38" s="49">
        <f t="shared" si="23"/>
        <v>0</v>
      </c>
      <c r="L38" s="49">
        <f t="shared" si="23"/>
        <v>0</v>
      </c>
      <c r="M38" s="59">
        <f t="shared" si="23"/>
        <v>0</v>
      </c>
      <c r="N38" s="49">
        <f t="shared" si="23"/>
        <v>0</v>
      </c>
      <c r="O38" s="49">
        <f t="shared" si="23"/>
        <v>0</v>
      </c>
      <c r="P38" s="59">
        <f t="shared" si="23"/>
        <v>0</v>
      </c>
      <c r="Q38" s="49">
        <f t="shared" si="23"/>
        <v>0</v>
      </c>
      <c r="R38" s="49">
        <f t="shared" si="23"/>
        <v>0</v>
      </c>
      <c r="S38" s="59">
        <f t="shared" si="23"/>
        <v>0</v>
      </c>
      <c r="T38" s="49">
        <f t="shared" si="23"/>
        <v>0</v>
      </c>
      <c r="U38" s="49">
        <f t="shared" si="23"/>
        <v>0</v>
      </c>
      <c r="V38" s="59">
        <f t="shared" si="23"/>
        <v>0</v>
      </c>
      <c r="W38" s="49">
        <f t="shared" si="23"/>
        <v>0</v>
      </c>
      <c r="X38" s="49">
        <f t="shared" si="23"/>
        <v>0</v>
      </c>
      <c r="Y38" s="59">
        <f t="shared" si="23"/>
        <v>0</v>
      </c>
      <c r="Z38" s="49">
        <f t="shared" si="23"/>
        <v>0</v>
      </c>
      <c r="AA38" s="49">
        <f t="shared" si="23"/>
        <v>0</v>
      </c>
      <c r="AB38" s="59">
        <f t="shared" si="23"/>
        <v>0</v>
      </c>
      <c r="AC38" s="43">
        <f t="shared" ref="AC38" si="24">SUM(E38:AB38)</f>
        <v>0</v>
      </c>
      <c r="AD38" s="164"/>
    </row>
    <row r="39" spans="1:30" ht="12.75">
      <c r="A39" s="45"/>
      <c r="B39" s="64" t="s">
        <v>51</v>
      </c>
      <c r="C39" s="32">
        <v>0</v>
      </c>
      <c r="D39" s="28">
        <f>C39-D40</f>
        <v>0</v>
      </c>
      <c r="E39" s="35">
        <v>0</v>
      </c>
      <c r="F39" s="35">
        <v>0</v>
      </c>
      <c r="G39" s="60">
        <v>0</v>
      </c>
      <c r="H39" s="35">
        <v>0</v>
      </c>
      <c r="I39" s="35">
        <v>0</v>
      </c>
      <c r="J39" s="60">
        <v>0</v>
      </c>
      <c r="K39" s="35">
        <v>0</v>
      </c>
      <c r="L39" s="35">
        <v>0</v>
      </c>
      <c r="M39" s="60">
        <v>0</v>
      </c>
      <c r="N39" s="35">
        <v>0</v>
      </c>
      <c r="O39" s="35">
        <v>0</v>
      </c>
      <c r="P39" s="60">
        <v>0</v>
      </c>
      <c r="Q39" s="35">
        <v>0</v>
      </c>
      <c r="R39" s="35">
        <v>0</v>
      </c>
      <c r="S39" s="60">
        <v>0</v>
      </c>
      <c r="T39" s="35">
        <v>0</v>
      </c>
      <c r="U39" s="35">
        <v>0</v>
      </c>
      <c r="V39" s="60">
        <v>0</v>
      </c>
      <c r="W39" s="35">
        <v>0</v>
      </c>
      <c r="X39" s="35">
        <v>0</v>
      </c>
      <c r="Y39" s="60">
        <v>0</v>
      </c>
      <c r="Z39" s="35">
        <v>0</v>
      </c>
      <c r="AA39" s="35">
        <v>0</v>
      </c>
      <c r="AB39" s="60">
        <v>0</v>
      </c>
      <c r="AC39" s="42">
        <f>SUM(E39:AB39)*D39</f>
        <v>0</v>
      </c>
      <c r="AD39" s="163">
        <v>0</v>
      </c>
    </row>
    <row r="40" spans="1:30" ht="12.75">
      <c r="A40" s="45"/>
      <c r="B40" s="63" t="s">
        <v>34</v>
      </c>
      <c r="C40" s="31">
        <v>0</v>
      </c>
      <c r="D40" s="27">
        <f>C40*C39</f>
        <v>0</v>
      </c>
      <c r="E40" s="49">
        <f>E39*$D$39</f>
        <v>0</v>
      </c>
      <c r="F40" s="49">
        <f t="shared" ref="F40:AB40" si="25">F39*$D$39</f>
        <v>0</v>
      </c>
      <c r="G40" s="59">
        <f t="shared" si="25"/>
        <v>0</v>
      </c>
      <c r="H40" s="49">
        <f t="shared" si="25"/>
        <v>0</v>
      </c>
      <c r="I40" s="49">
        <f t="shared" si="25"/>
        <v>0</v>
      </c>
      <c r="J40" s="59">
        <f t="shared" si="25"/>
        <v>0</v>
      </c>
      <c r="K40" s="49">
        <f t="shared" si="25"/>
        <v>0</v>
      </c>
      <c r="L40" s="49">
        <f t="shared" si="25"/>
        <v>0</v>
      </c>
      <c r="M40" s="59">
        <f t="shared" si="25"/>
        <v>0</v>
      </c>
      <c r="N40" s="49">
        <f t="shared" si="25"/>
        <v>0</v>
      </c>
      <c r="O40" s="49">
        <f t="shared" si="25"/>
        <v>0</v>
      </c>
      <c r="P40" s="59">
        <f t="shared" si="25"/>
        <v>0</v>
      </c>
      <c r="Q40" s="49">
        <f t="shared" si="25"/>
        <v>0</v>
      </c>
      <c r="R40" s="49">
        <f t="shared" si="25"/>
        <v>0</v>
      </c>
      <c r="S40" s="59">
        <f t="shared" si="25"/>
        <v>0</v>
      </c>
      <c r="T40" s="49">
        <f t="shared" si="25"/>
        <v>0</v>
      </c>
      <c r="U40" s="49">
        <f t="shared" si="25"/>
        <v>0</v>
      </c>
      <c r="V40" s="59">
        <f t="shared" si="25"/>
        <v>0</v>
      </c>
      <c r="W40" s="49">
        <f t="shared" si="25"/>
        <v>0</v>
      </c>
      <c r="X40" s="49">
        <f t="shared" si="25"/>
        <v>0</v>
      </c>
      <c r="Y40" s="59">
        <f t="shared" si="25"/>
        <v>0</v>
      </c>
      <c r="Z40" s="49">
        <f t="shared" si="25"/>
        <v>0</v>
      </c>
      <c r="AA40" s="49">
        <f t="shared" si="25"/>
        <v>0</v>
      </c>
      <c r="AB40" s="59">
        <f t="shared" si="25"/>
        <v>0</v>
      </c>
      <c r="AC40" s="43">
        <f t="shared" ref="AC40:AC42" si="26">SUM(E40:AB40)</f>
        <v>0</v>
      </c>
      <c r="AD40" s="164"/>
    </row>
    <row r="41" spans="1:30" ht="12.75">
      <c r="A41" s="45"/>
      <c r="B41" s="66" t="s">
        <v>36</v>
      </c>
      <c r="C41" s="53"/>
      <c r="D41" s="53"/>
      <c r="E41" s="105">
        <f>E27*$D$27+E29*$D$29+E31*$D$31+E33*$D$33+E35*$D$35+E37*$D$37+E39*$D$39</f>
        <v>0</v>
      </c>
      <c r="F41" s="105">
        <f t="shared" ref="F41:AB41" si="27">F27*$D$27+F29*$D$29+F31*$D$31+F33*$D$33+F35*$D$35+F37*$D$37+F39*$D$39</f>
        <v>0</v>
      </c>
      <c r="G41" s="105">
        <f t="shared" si="27"/>
        <v>0</v>
      </c>
      <c r="H41" s="105">
        <f t="shared" si="27"/>
        <v>0</v>
      </c>
      <c r="I41" s="105">
        <f t="shared" si="27"/>
        <v>0</v>
      </c>
      <c r="J41" s="105">
        <f t="shared" si="27"/>
        <v>0</v>
      </c>
      <c r="K41" s="105">
        <f t="shared" si="27"/>
        <v>0</v>
      </c>
      <c r="L41" s="105">
        <f t="shared" si="27"/>
        <v>0</v>
      </c>
      <c r="M41" s="105">
        <f t="shared" si="27"/>
        <v>0</v>
      </c>
      <c r="N41" s="105">
        <f t="shared" si="27"/>
        <v>0</v>
      </c>
      <c r="O41" s="105">
        <f t="shared" si="27"/>
        <v>0</v>
      </c>
      <c r="P41" s="105">
        <f t="shared" si="27"/>
        <v>0</v>
      </c>
      <c r="Q41" s="105">
        <f t="shared" si="27"/>
        <v>0</v>
      </c>
      <c r="R41" s="105">
        <f t="shared" si="27"/>
        <v>0</v>
      </c>
      <c r="S41" s="105">
        <f t="shared" si="27"/>
        <v>0</v>
      </c>
      <c r="T41" s="105">
        <f t="shared" si="27"/>
        <v>0</v>
      </c>
      <c r="U41" s="105">
        <f t="shared" si="27"/>
        <v>0</v>
      </c>
      <c r="V41" s="105">
        <f t="shared" si="27"/>
        <v>0</v>
      </c>
      <c r="W41" s="105">
        <f t="shared" si="27"/>
        <v>0</v>
      </c>
      <c r="X41" s="105">
        <f t="shared" si="27"/>
        <v>0</v>
      </c>
      <c r="Y41" s="105">
        <f t="shared" si="27"/>
        <v>0</v>
      </c>
      <c r="Z41" s="105">
        <f t="shared" si="27"/>
        <v>0</v>
      </c>
      <c r="AA41" s="105">
        <f t="shared" si="27"/>
        <v>0</v>
      </c>
      <c r="AB41" s="105">
        <f t="shared" si="27"/>
        <v>0</v>
      </c>
      <c r="AC41" s="105">
        <f t="shared" si="26"/>
        <v>0</v>
      </c>
      <c r="AD41" s="205" t="s">
        <v>45</v>
      </c>
    </row>
    <row r="42" spans="1:30" ht="12.75">
      <c r="A42" s="45"/>
      <c r="B42" s="67" t="s">
        <v>35</v>
      </c>
      <c r="C42" s="55"/>
      <c r="D42" s="55"/>
      <c r="E42" s="106">
        <f t="shared" ref="E42:AB42" si="28">E28+E30+E32+E34+E36+E38+E40</f>
        <v>0</v>
      </c>
      <c r="F42" s="106">
        <f t="shared" si="28"/>
        <v>0</v>
      </c>
      <c r="G42" s="107">
        <f t="shared" si="28"/>
        <v>0</v>
      </c>
      <c r="H42" s="106">
        <f t="shared" si="28"/>
        <v>0</v>
      </c>
      <c r="I42" s="106">
        <f t="shared" si="28"/>
        <v>0</v>
      </c>
      <c r="J42" s="107">
        <f t="shared" si="28"/>
        <v>0</v>
      </c>
      <c r="K42" s="106">
        <f t="shared" si="28"/>
        <v>0</v>
      </c>
      <c r="L42" s="106">
        <f t="shared" si="28"/>
        <v>0</v>
      </c>
      <c r="M42" s="107">
        <f t="shared" si="28"/>
        <v>0</v>
      </c>
      <c r="N42" s="106">
        <f t="shared" si="28"/>
        <v>0</v>
      </c>
      <c r="O42" s="106">
        <f t="shared" si="28"/>
        <v>0</v>
      </c>
      <c r="P42" s="107">
        <f t="shared" si="28"/>
        <v>0</v>
      </c>
      <c r="Q42" s="106">
        <f t="shared" si="28"/>
        <v>0</v>
      </c>
      <c r="R42" s="106">
        <f t="shared" si="28"/>
        <v>0</v>
      </c>
      <c r="S42" s="107">
        <f t="shared" si="28"/>
        <v>0</v>
      </c>
      <c r="T42" s="106">
        <f t="shared" si="28"/>
        <v>0</v>
      </c>
      <c r="U42" s="106">
        <f t="shared" si="28"/>
        <v>0</v>
      </c>
      <c r="V42" s="107">
        <f t="shared" si="28"/>
        <v>0</v>
      </c>
      <c r="W42" s="106">
        <f t="shared" si="28"/>
        <v>0</v>
      </c>
      <c r="X42" s="106">
        <f t="shared" si="28"/>
        <v>0</v>
      </c>
      <c r="Y42" s="107">
        <f t="shared" si="28"/>
        <v>0</v>
      </c>
      <c r="Z42" s="106">
        <f t="shared" si="28"/>
        <v>0</v>
      </c>
      <c r="AA42" s="106">
        <f t="shared" si="28"/>
        <v>0</v>
      </c>
      <c r="AB42" s="107">
        <f t="shared" si="28"/>
        <v>0</v>
      </c>
      <c r="AC42" s="106">
        <f t="shared" si="26"/>
        <v>0</v>
      </c>
      <c r="AD42" s="205"/>
    </row>
    <row r="43" spans="1:30" ht="12.75">
      <c r="A43" s="45"/>
      <c r="B43" s="85" t="s">
        <v>38</v>
      </c>
      <c r="C43" s="77"/>
      <c r="D43" s="77"/>
      <c r="E43" s="108">
        <f>E41+E42</f>
        <v>0</v>
      </c>
      <c r="F43" s="108">
        <f t="shared" ref="F43:AB43" si="29">F41+F42</f>
        <v>0</v>
      </c>
      <c r="G43" s="109">
        <f t="shared" si="29"/>
        <v>0</v>
      </c>
      <c r="H43" s="108">
        <f t="shared" si="29"/>
        <v>0</v>
      </c>
      <c r="I43" s="108">
        <f t="shared" si="29"/>
        <v>0</v>
      </c>
      <c r="J43" s="109">
        <f t="shared" si="29"/>
        <v>0</v>
      </c>
      <c r="K43" s="108">
        <f t="shared" si="29"/>
        <v>0</v>
      </c>
      <c r="L43" s="108">
        <f t="shared" si="29"/>
        <v>0</v>
      </c>
      <c r="M43" s="109">
        <f t="shared" si="29"/>
        <v>0</v>
      </c>
      <c r="N43" s="108">
        <f t="shared" si="29"/>
        <v>0</v>
      </c>
      <c r="O43" s="108">
        <f t="shared" si="29"/>
        <v>0</v>
      </c>
      <c r="P43" s="109">
        <f t="shared" si="29"/>
        <v>0</v>
      </c>
      <c r="Q43" s="108">
        <f t="shared" si="29"/>
        <v>0</v>
      </c>
      <c r="R43" s="108">
        <f t="shared" si="29"/>
        <v>0</v>
      </c>
      <c r="S43" s="109">
        <f t="shared" si="29"/>
        <v>0</v>
      </c>
      <c r="T43" s="108">
        <f t="shared" si="29"/>
        <v>0</v>
      </c>
      <c r="U43" s="108">
        <f t="shared" si="29"/>
        <v>0</v>
      </c>
      <c r="V43" s="109">
        <f t="shared" si="29"/>
        <v>0</v>
      </c>
      <c r="W43" s="108">
        <f t="shared" si="29"/>
        <v>0</v>
      </c>
      <c r="X43" s="108">
        <f t="shared" si="29"/>
        <v>0</v>
      </c>
      <c r="Y43" s="109">
        <f t="shared" si="29"/>
        <v>0</v>
      </c>
      <c r="Z43" s="108">
        <f t="shared" si="29"/>
        <v>0</v>
      </c>
      <c r="AA43" s="108">
        <f t="shared" si="29"/>
        <v>0</v>
      </c>
      <c r="AB43" s="109">
        <f t="shared" si="29"/>
        <v>0</v>
      </c>
      <c r="AC43" s="108">
        <f>AC41+AC42</f>
        <v>0</v>
      </c>
      <c r="AD43" s="102">
        <f>AD27+AD29+AD31+AD33+AD35+AD37+AD39</f>
        <v>0</v>
      </c>
    </row>
    <row r="44" spans="1:30" ht="12.75">
      <c r="A44" s="45"/>
      <c r="B44" s="86"/>
      <c r="C44" s="90"/>
      <c r="D44" s="90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100"/>
      <c r="AD44" s="101"/>
    </row>
    <row r="45" spans="1:30" ht="12.75">
      <c r="A45" s="45"/>
      <c r="B45" s="91" t="s">
        <v>39</v>
      </c>
      <c r="C45" s="74"/>
      <c r="D45" s="74"/>
      <c r="E45" s="179" t="s">
        <v>13</v>
      </c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69"/>
      <c r="AD45" s="98"/>
    </row>
    <row r="46" spans="1:30" ht="12.75">
      <c r="A46" s="45"/>
      <c r="B46" s="182" t="s">
        <v>40</v>
      </c>
      <c r="C46" s="183"/>
      <c r="D46" s="183"/>
      <c r="E46" s="13">
        <v>0</v>
      </c>
      <c r="F46" s="13">
        <v>0</v>
      </c>
      <c r="G46" s="14">
        <v>0</v>
      </c>
      <c r="H46" s="13">
        <v>0</v>
      </c>
      <c r="I46" s="13">
        <v>0</v>
      </c>
      <c r="J46" s="14">
        <v>0</v>
      </c>
      <c r="K46" s="13">
        <v>0</v>
      </c>
      <c r="L46" s="13">
        <v>0</v>
      </c>
      <c r="M46" s="14">
        <v>0</v>
      </c>
      <c r="N46" s="13">
        <v>0</v>
      </c>
      <c r="O46" s="13">
        <v>0</v>
      </c>
      <c r="P46" s="14">
        <v>0</v>
      </c>
      <c r="Q46" s="13">
        <v>0</v>
      </c>
      <c r="R46" s="13">
        <v>0</v>
      </c>
      <c r="S46" s="14">
        <v>0</v>
      </c>
      <c r="T46" s="13">
        <v>0</v>
      </c>
      <c r="U46" s="13">
        <v>0</v>
      </c>
      <c r="V46" s="14">
        <v>0</v>
      </c>
      <c r="W46" s="13">
        <v>0</v>
      </c>
      <c r="X46" s="13">
        <v>0</v>
      </c>
      <c r="Y46" s="14">
        <v>0</v>
      </c>
      <c r="Z46" s="13">
        <v>0</v>
      </c>
      <c r="AA46" s="13">
        <v>0</v>
      </c>
      <c r="AB46" s="14">
        <v>0</v>
      </c>
      <c r="AC46" s="15">
        <f t="shared" ref="AC46:AC50" si="30">SUM(E46:AB46)</f>
        <v>0</v>
      </c>
      <c r="AD46" s="136">
        <v>0</v>
      </c>
    </row>
    <row r="47" spans="1:30" ht="12.75">
      <c r="A47" s="45"/>
      <c r="B47" s="189" t="s">
        <v>46</v>
      </c>
      <c r="C47" s="190"/>
      <c r="D47" s="190"/>
      <c r="E47" s="16">
        <v>0</v>
      </c>
      <c r="F47" s="16">
        <v>0</v>
      </c>
      <c r="G47" s="17">
        <v>0</v>
      </c>
      <c r="H47" s="16">
        <v>0</v>
      </c>
      <c r="I47" s="16">
        <v>0</v>
      </c>
      <c r="J47" s="17">
        <v>0</v>
      </c>
      <c r="K47" s="16">
        <v>0</v>
      </c>
      <c r="L47" s="16">
        <v>0</v>
      </c>
      <c r="M47" s="17">
        <v>0</v>
      </c>
      <c r="N47" s="16">
        <v>0</v>
      </c>
      <c r="O47" s="16">
        <v>0</v>
      </c>
      <c r="P47" s="17">
        <v>0</v>
      </c>
      <c r="Q47" s="16">
        <v>0</v>
      </c>
      <c r="R47" s="16">
        <v>0</v>
      </c>
      <c r="S47" s="17">
        <v>0</v>
      </c>
      <c r="T47" s="16">
        <v>0</v>
      </c>
      <c r="U47" s="16">
        <v>0</v>
      </c>
      <c r="V47" s="17">
        <v>0</v>
      </c>
      <c r="W47" s="16">
        <v>0</v>
      </c>
      <c r="X47" s="16">
        <v>0</v>
      </c>
      <c r="Y47" s="17">
        <v>0</v>
      </c>
      <c r="Z47" s="16">
        <v>0</v>
      </c>
      <c r="AA47" s="16">
        <v>0</v>
      </c>
      <c r="AB47" s="17">
        <v>0</v>
      </c>
      <c r="AC47" s="18">
        <f t="shared" si="30"/>
        <v>0</v>
      </c>
      <c r="AD47" s="136">
        <v>0</v>
      </c>
    </row>
    <row r="48" spans="1:30" ht="12.75">
      <c r="A48" s="45"/>
      <c r="B48" s="189" t="s">
        <v>47</v>
      </c>
      <c r="C48" s="190"/>
      <c r="D48" s="190"/>
      <c r="E48" s="16">
        <v>0</v>
      </c>
      <c r="F48" s="16">
        <v>0</v>
      </c>
      <c r="G48" s="17">
        <v>0</v>
      </c>
      <c r="H48" s="16">
        <v>0</v>
      </c>
      <c r="I48" s="16">
        <v>0</v>
      </c>
      <c r="J48" s="17">
        <v>0</v>
      </c>
      <c r="K48" s="16">
        <v>0</v>
      </c>
      <c r="L48" s="16">
        <v>0</v>
      </c>
      <c r="M48" s="17">
        <v>0</v>
      </c>
      <c r="N48" s="16">
        <v>0</v>
      </c>
      <c r="O48" s="16">
        <v>0</v>
      </c>
      <c r="P48" s="17">
        <v>0</v>
      </c>
      <c r="Q48" s="16">
        <v>0</v>
      </c>
      <c r="R48" s="16">
        <v>0</v>
      </c>
      <c r="S48" s="17">
        <v>0</v>
      </c>
      <c r="T48" s="16">
        <v>0</v>
      </c>
      <c r="U48" s="16">
        <v>0</v>
      </c>
      <c r="V48" s="17">
        <v>0</v>
      </c>
      <c r="W48" s="16">
        <v>0</v>
      </c>
      <c r="X48" s="16">
        <v>0</v>
      </c>
      <c r="Y48" s="17">
        <v>0</v>
      </c>
      <c r="Z48" s="16">
        <v>0</v>
      </c>
      <c r="AA48" s="16">
        <v>0</v>
      </c>
      <c r="AB48" s="17">
        <v>0</v>
      </c>
      <c r="AC48" s="18">
        <f t="shared" si="30"/>
        <v>0</v>
      </c>
      <c r="AD48" s="136">
        <v>0</v>
      </c>
    </row>
    <row r="49" spans="1:30" ht="12.75">
      <c r="A49" s="45"/>
      <c r="B49" s="189" t="s">
        <v>43</v>
      </c>
      <c r="C49" s="190"/>
      <c r="D49" s="190"/>
      <c r="E49" s="19">
        <v>0</v>
      </c>
      <c r="F49" s="19">
        <v>0</v>
      </c>
      <c r="G49" s="20">
        <v>0</v>
      </c>
      <c r="H49" s="19">
        <v>0</v>
      </c>
      <c r="I49" s="19">
        <v>0</v>
      </c>
      <c r="J49" s="20">
        <v>0</v>
      </c>
      <c r="K49" s="19">
        <v>0</v>
      </c>
      <c r="L49" s="19">
        <v>0</v>
      </c>
      <c r="M49" s="20">
        <v>0</v>
      </c>
      <c r="N49" s="19">
        <v>0</v>
      </c>
      <c r="O49" s="19">
        <v>0</v>
      </c>
      <c r="P49" s="20">
        <v>0</v>
      </c>
      <c r="Q49" s="19">
        <v>0</v>
      </c>
      <c r="R49" s="19">
        <v>0</v>
      </c>
      <c r="S49" s="20">
        <v>0</v>
      </c>
      <c r="T49" s="19">
        <v>0</v>
      </c>
      <c r="U49" s="19">
        <v>0</v>
      </c>
      <c r="V49" s="20">
        <v>0</v>
      </c>
      <c r="W49" s="19">
        <v>0</v>
      </c>
      <c r="X49" s="19">
        <v>0</v>
      </c>
      <c r="Y49" s="20">
        <v>0</v>
      </c>
      <c r="Z49" s="19">
        <v>0</v>
      </c>
      <c r="AA49" s="19">
        <v>0</v>
      </c>
      <c r="AB49" s="20">
        <v>0</v>
      </c>
      <c r="AC49" s="21">
        <f t="shared" si="30"/>
        <v>0</v>
      </c>
      <c r="AD49" s="136">
        <v>0</v>
      </c>
    </row>
    <row r="50" spans="1:30" ht="12.75">
      <c r="A50" s="45"/>
      <c r="B50" s="89" t="s">
        <v>11</v>
      </c>
      <c r="C50" s="70"/>
      <c r="D50" s="70"/>
      <c r="E50" s="71">
        <f t="shared" ref="E50:AB50" si="31">SUM(E46:E49)</f>
        <v>0</v>
      </c>
      <c r="F50" s="71">
        <f t="shared" si="31"/>
        <v>0</v>
      </c>
      <c r="G50" s="72">
        <f t="shared" si="31"/>
        <v>0</v>
      </c>
      <c r="H50" s="71">
        <f t="shared" si="31"/>
        <v>0</v>
      </c>
      <c r="I50" s="71">
        <f t="shared" si="31"/>
        <v>0</v>
      </c>
      <c r="J50" s="72">
        <f t="shared" si="31"/>
        <v>0</v>
      </c>
      <c r="K50" s="71">
        <f t="shared" si="31"/>
        <v>0</v>
      </c>
      <c r="L50" s="71">
        <f t="shared" si="31"/>
        <v>0</v>
      </c>
      <c r="M50" s="72">
        <f t="shared" si="31"/>
        <v>0</v>
      </c>
      <c r="N50" s="71">
        <f t="shared" si="31"/>
        <v>0</v>
      </c>
      <c r="O50" s="71">
        <f t="shared" si="31"/>
        <v>0</v>
      </c>
      <c r="P50" s="72">
        <f t="shared" si="31"/>
        <v>0</v>
      </c>
      <c r="Q50" s="71">
        <f t="shared" si="31"/>
        <v>0</v>
      </c>
      <c r="R50" s="71">
        <f t="shared" si="31"/>
        <v>0</v>
      </c>
      <c r="S50" s="72">
        <f t="shared" si="31"/>
        <v>0</v>
      </c>
      <c r="T50" s="71">
        <f t="shared" si="31"/>
        <v>0</v>
      </c>
      <c r="U50" s="71">
        <f t="shared" si="31"/>
        <v>0</v>
      </c>
      <c r="V50" s="72">
        <f t="shared" si="31"/>
        <v>0</v>
      </c>
      <c r="W50" s="71">
        <f t="shared" si="31"/>
        <v>0</v>
      </c>
      <c r="X50" s="71">
        <f t="shared" si="31"/>
        <v>0</v>
      </c>
      <c r="Y50" s="72">
        <f t="shared" si="31"/>
        <v>0</v>
      </c>
      <c r="Z50" s="71">
        <f t="shared" si="31"/>
        <v>0</v>
      </c>
      <c r="AA50" s="71">
        <f t="shared" si="31"/>
        <v>0</v>
      </c>
      <c r="AB50" s="72">
        <f t="shared" si="31"/>
        <v>0</v>
      </c>
      <c r="AC50" s="73">
        <f t="shared" si="30"/>
        <v>0</v>
      </c>
      <c r="AD50" s="102">
        <f>SUM(AD46:AD49)</f>
        <v>0</v>
      </c>
    </row>
    <row r="51" spans="1:30" ht="12.75">
      <c r="A51" s="45"/>
      <c r="B51" s="86"/>
      <c r="C51" s="92"/>
      <c r="D51" s="92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100"/>
      <c r="AD51" s="101"/>
    </row>
    <row r="52" spans="1:30" ht="12.75">
      <c r="A52" s="45"/>
      <c r="B52" s="184" t="s">
        <v>15</v>
      </c>
      <c r="C52" s="185"/>
      <c r="D52" s="185"/>
      <c r="E52" s="179" t="s">
        <v>13</v>
      </c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69"/>
      <c r="AD52" s="98"/>
    </row>
    <row r="53" spans="1:30" ht="12.75">
      <c r="A53" s="45"/>
      <c r="B53" s="182" t="s">
        <v>16</v>
      </c>
      <c r="C53" s="183"/>
      <c r="D53" s="183"/>
      <c r="E53" s="13">
        <v>0</v>
      </c>
      <c r="F53" s="13">
        <v>0</v>
      </c>
      <c r="G53" s="14">
        <v>0</v>
      </c>
      <c r="H53" s="13">
        <v>0</v>
      </c>
      <c r="I53" s="13">
        <v>0</v>
      </c>
      <c r="J53" s="14">
        <v>0</v>
      </c>
      <c r="K53" s="13">
        <v>0</v>
      </c>
      <c r="L53" s="13">
        <v>0</v>
      </c>
      <c r="M53" s="14">
        <v>0</v>
      </c>
      <c r="N53" s="13">
        <v>0</v>
      </c>
      <c r="O53" s="13">
        <v>0</v>
      </c>
      <c r="P53" s="14">
        <v>0</v>
      </c>
      <c r="Q53" s="13">
        <v>0</v>
      </c>
      <c r="R53" s="13">
        <v>0</v>
      </c>
      <c r="S53" s="14">
        <v>0</v>
      </c>
      <c r="T53" s="13">
        <v>0</v>
      </c>
      <c r="U53" s="13">
        <v>0</v>
      </c>
      <c r="V53" s="14">
        <v>0</v>
      </c>
      <c r="W53" s="13">
        <v>0</v>
      </c>
      <c r="X53" s="13">
        <v>0</v>
      </c>
      <c r="Y53" s="14">
        <v>0</v>
      </c>
      <c r="Z53" s="13">
        <v>0</v>
      </c>
      <c r="AA53" s="13">
        <v>0</v>
      </c>
      <c r="AB53" s="14">
        <v>0</v>
      </c>
      <c r="AC53" s="15">
        <f t="shared" ref="AC53:AC57" si="32">SUM(E53:AB53)</f>
        <v>0</v>
      </c>
      <c r="AD53" s="136">
        <v>0</v>
      </c>
    </row>
    <row r="54" spans="1:30" ht="12.75">
      <c r="A54" s="45"/>
      <c r="B54" s="189" t="s">
        <v>17</v>
      </c>
      <c r="C54" s="190"/>
      <c r="D54" s="190"/>
      <c r="E54" s="16">
        <v>0</v>
      </c>
      <c r="F54" s="16">
        <v>0</v>
      </c>
      <c r="G54" s="17">
        <v>0</v>
      </c>
      <c r="H54" s="16">
        <v>0</v>
      </c>
      <c r="I54" s="16">
        <v>0</v>
      </c>
      <c r="J54" s="17">
        <v>0</v>
      </c>
      <c r="K54" s="16">
        <v>0</v>
      </c>
      <c r="L54" s="16">
        <v>0</v>
      </c>
      <c r="M54" s="17">
        <v>0</v>
      </c>
      <c r="N54" s="16">
        <v>0</v>
      </c>
      <c r="O54" s="16">
        <v>0</v>
      </c>
      <c r="P54" s="17">
        <v>0</v>
      </c>
      <c r="Q54" s="16">
        <v>0</v>
      </c>
      <c r="R54" s="16">
        <v>0</v>
      </c>
      <c r="S54" s="17">
        <v>0</v>
      </c>
      <c r="T54" s="16">
        <v>0</v>
      </c>
      <c r="U54" s="16">
        <v>0</v>
      </c>
      <c r="V54" s="17">
        <v>0</v>
      </c>
      <c r="W54" s="16">
        <v>0</v>
      </c>
      <c r="X54" s="16">
        <v>0</v>
      </c>
      <c r="Y54" s="17">
        <v>0</v>
      </c>
      <c r="Z54" s="16">
        <v>0</v>
      </c>
      <c r="AA54" s="16">
        <v>0</v>
      </c>
      <c r="AB54" s="17">
        <v>0</v>
      </c>
      <c r="AC54" s="18">
        <f t="shared" si="32"/>
        <v>0</v>
      </c>
      <c r="AD54" s="136">
        <v>0</v>
      </c>
    </row>
    <row r="55" spans="1:30" ht="12.75">
      <c r="A55" s="45"/>
      <c r="B55" s="189" t="s">
        <v>18</v>
      </c>
      <c r="C55" s="190"/>
      <c r="D55" s="190"/>
      <c r="E55" s="16">
        <v>0</v>
      </c>
      <c r="F55" s="16">
        <v>0</v>
      </c>
      <c r="G55" s="17">
        <v>0</v>
      </c>
      <c r="H55" s="16">
        <v>0</v>
      </c>
      <c r="I55" s="16">
        <v>0</v>
      </c>
      <c r="J55" s="17">
        <v>0</v>
      </c>
      <c r="K55" s="16">
        <v>0</v>
      </c>
      <c r="L55" s="16">
        <v>0</v>
      </c>
      <c r="M55" s="17">
        <v>0</v>
      </c>
      <c r="N55" s="16">
        <v>0</v>
      </c>
      <c r="O55" s="16">
        <v>0</v>
      </c>
      <c r="P55" s="17">
        <v>0</v>
      </c>
      <c r="Q55" s="16">
        <v>0</v>
      </c>
      <c r="R55" s="16">
        <v>0</v>
      </c>
      <c r="S55" s="17">
        <v>0</v>
      </c>
      <c r="T55" s="16">
        <v>0</v>
      </c>
      <c r="U55" s="16">
        <v>0</v>
      </c>
      <c r="V55" s="17">
        <v>0</v>
      </c>
      <c r="W55" s="16">
        <v>0</v>
      </c>
      <c r="X55" s="16">
        <v>0</v>
      </c>
      <c r="Y55" s="17">
        <v>0</v>
      </c>
      <c r="Z55" s="16">
        <v>0</v>
      </c>
      <c r="AA55" s="16">
        <v>0</v>
      </c>
      <c r="AB55" s="17">
        <v>0</v>
      </c>
      <c r="AC55" s="18">
        <f t="shared" si="32"/>
        <v>0</v>
      </c>
      <c r="AD55" s="136">
        <v>0</v>
      </c>
    </row>
    <row r="56" spans="1:30" ht="12.75">
      <c r="A56" s="45"/>
      <c r="B56" s="189" t="s">
        <v>18</v>
      </c>
      <c r="C56" s="190"/>
      <c r="D56" s="190"/>
      <c r="E56" s="19">
        <v>0</v>
      </c>
      <c r="F56" s="19">
        <v>0</v>
      </c>
      <c r="G56" s="20">
        <v>0</v>
      </c>
      <c r="H56" s="19">
        <v>0</v>
      </c>
      <c r="I56" s="19">
        <v>0</v>
      </c>
      <c r="J56" s="20">
        <v>0</v>
      </c>
      <c r="K56" s="19">
        <v>0</v>
      </c>
      <c r="L56" s="19">
        <v>0</v>
      </c>
      <c r="M56" s="20">
        <v>0</v>
      </c>
      <c r="N56" s="19">
        <v>0</v>
      </c>
      <c r="O56" s="19">
        <v>0</v>
      </c>
      <c r="P56" s="20">
        <v>0</v>
      </c>
      <c r="Q56" s="19">
        <v>0</v>
      </c>
      <c r="R56" s="19">
        <v>0</v>
      </c>
      <c r="S56" s="20">
        <v>0</v>
      </c>
      <c r="T56" s="19">
        <v>0</v>
      </c>
      <c r="U56" s="19">
        <v>0</v>
      </c>
      <c r="V56" s="20">
        <v>0</v>
      </c>
      <c r="W56" s="19">
        <v>0</v>
      </c>
      <c r="X56" s="19">
        <v>0</v>
      </c>
      <c r="Y56" s="20">
        <v>0</v>
      </c>
      <c r="Z56" s="19">
        <v>0</v>
      </c>
      <c r="AA56" s="19">
        <v>0</v>
      </c>
      <c r="AB56" s="20">
        <v>0</v>
      </c>
      <c r="AC56" s="21">
        <f t="shared" si="32"/>
        <v>0</v>
      </c>
      <c r="AD56" s="136">
        <v>0</v>
      </c>
    </row>
    <row r="57" spans="1:30" ht="12.75">
      <c r="A57" s="45"/>
      <c r="B57" s="89" t="s">
        <v>11</v>
      </c>
      <c r="C57" s="70"/>
      <c r="D57" s="70"/>
      <c r="E57" s="71">
        <f t="shared" ref="E57:AB57" si="33">SUM(E53:E56)</f>
        <v>0</v>
      </c>
      <c r="F57" s="71">
        <f t="shared" si="33"/>
        <v>0</v>
      </c>
      <c r="G57" s="72">
        <f t="shared" si="33"/>
        <v>0</v>
      </c>
      <c r="H57" s="71">
        <f t="shared" si="33"/>
        <v>0</v>
      </c>
      <c r="I57" s="71">
        <f t="shared" si="33"/>
        <v>0</v>
      </c>
      <c r="J57" s="72">
        <f t="shared" si="33"/>
        <v>0</v>
      </c>
      <c r="K57" s="71">
        <f t="shared" si="33"/>
        <v>0</v>
      </c>
      <c r="L57" s="71">
        <f t="shared" si="33"/>
        <v>0</v>
      </c>
      <c r="M57" s="72">
        <f t="shared" si="33"/>
        <v>0</v>
      </c>
      <c r="N57" s="71">
        <f t="shared" si="33"/>
        <v>0</v>
      </c>
      <c r="O57" s="71">
        <f t="shared" si="33"/>
        <v>0</v>
      </c>
      <c r="P57" s="72">
        <f t="shared" si="33"/>
        <v>0</v>
      </c>
      <c r="Q57" s="71">
        <f t="shared" si="33"/>
        <v>0</v>
      </c>
      <c r="R57" s="71">
        <f t="shared" si="33"/>
        <v>0</v>
      </c>
      <c r="S57" s="72">
        <f t="shared" si="33"/>
        <v>0</v>
      </c>
      <c r="T57" s="71">
        <f t="shared" si="33"/>
        <v>0</v>
      </c>
      <c r="U57" s="71">
        <f t="shared" si="33"/>
        <v>0</v>
      </c>
      <c r="V57" s="72">
        <f t="shared" si="33"/>
        <v>0</v>
      </c>
      <c r="W57" s="71">
        <f t="shared" si="33"/>
        <v>0</v>
      </c>
      <c r="X57" s="71">
        <f t="shared" si="33"/>
        <v>0</v>
      </c>
      <c r="Y57" s="72">
        <f t="shared" si="33"/>
        <v>0</v>
      </c>
      <c r="Z57" s="71">
        <f t="shared" si="33"/>
        <v>0</v>
      </c>
      <c r="AA57" s="71">
        <f t="shared" si="33"/>
        <v>0</v>
      </c>
      <c r="AB57" s="72">
        <f t="shared" si="33"/>
        <v>0</v>
      </c>
      <c r="AC57" s="73">
        <f t="shared" si="32"/>
        <v>0</v>
      </c>
      <c r="AD57" s="102">
        <f>SUM(AD53:AD56)</f>
        <v>0</v>
      </c>
    </row>
    <row r="58" spans="1:30" ht="12.75">
      <c r="A58" s="45"/>
      <c r="B58" s="86"/>
      <c r="C58" s="92"/>
      <c r="D58" s="92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100"/>
      <c r="AD58" s="101"/>
    </row>
    <row r="59" spans="1:30" ht="12.75">
      <c r="A59" s="45"/>
      <c r="B59" s="201" t="s">
        <v>19</v>
      </c>
      <c r="C59" s="202"/>
      <c r="D59" s="202"/>
      <c r="E59" s="179" t="s">
        <v>13</v>
      </c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69"/>
      <c r="AD59" s="98"/>
    </row>
    <row r="60" spans="1:30" ht="12.75">
      <c r="A60" s="45"/>
      <c r="B60" s="182" t="s">
        <v>20</v>
      </c>
      <c r="C60" s="183"/>
      <c r="D60" s="183"/>
      <c r="E60" s="13">
        <v>0</v>
      </c>
      <c r="F60" s="13">
        <v>0</v>
      </c>
      <c r="G60" s="14">
        <v>0</v>
      </c>
      <c r="H60" s="13">
        <v>0</v>
      </c>
      <c r="I60" s="13">
        <v>0</v>
      </c>
      <c r="J60" s="14">
        <v>0</v>
      </c>
      <c r="K60" s="13">
        <v>0</v>
      </c>
      <c r="L60" s="13">
        <v>0</v>
      </c>
      <c r="M60" s="14">
        <v>0</v>
      </c>
      <c r="N60" s="13">
        <v>0</v>
      </c>
      <c r="O60" s="13">
        <v>0</v>
      </c>
      <c r="P60" s="14">
        <v>0</v>
      </c>
      <c r="Q60" s="13">
        <v>0</v>
      </c>
      <c r="R60" s="13">
        <v>0</v>
      </c>
      <c r="S60" s="14">
        <v>0</v>
      </c>
      <c r="T60" s="13">
        <v>0</v>
      </c>
      <c r="U60" s="13">
        <v>0</v>
      </c>
      <c r="V60" s="14">
        <v>0</v>
      </c>
      <c r="W60" s="13">
        <v>0</v>
      </c>
      <c r="X60" s="13">
        <v>0</v>
      </c>
      <c r="Y60" s="14">
        <v>0</v>
      </c>
      <c r="Z60" s="13">
        <v>0</v>
      </c>
      <c r="AA60" s="13">
        <v>0</v>
      </c>
      <c r="AB60" s="14">
        <v>0</v>
      </c>
      <c r="AC60" s="15">
        <f t="shared" ref="AC60:AC67" si="34">SUM(E60:AB60)</f>
        <v>0</v>
      </c>
      <c r="AD60" s="136">
        <v>0</v>
      </c>
    </row>
    <row r="61" spans="1:30" ht="12.75">
      <c r="A61" s="45"/>
      <c r="B61" s="189" t="s">
        <v>41</v>
      </c>
      <c r="C61" s="190"/>
      <c r="D61" s="190"/>
      <c r="E61" s="16">
        <v>0</v>
      </c>
      <c r="F61" s="16">
        <v>0</v>
      </c>
      <c r="G61" s="17">
        <v>0</v>
      </c>
      <c r="H61" s="16">
        <v>0</v>
      </c>
      <c r="I61" s="16">
        <v>0</v>
      </c>
      <c r="J61" s="17">
        <v>0</v>
      </c>
      <c r="K61" s="16">
        <v>0</v>
      </c>
      <c r="L61" s="16">
        <v>0</v>
      </c>
      <c r="M61" s="17">
        <v>0</v>
      </c>
      <c r="N61" s="16">
        <v>0</v>
      </c>
      <c r="O61" s="16">
        <v>0</v>
      </c>
      <c r="P61" s="17">
        <v>0</v>
      </c>
      <c r="Q61" s="16">
        <v>0</v>
      </c>
      <c r="R61" s="16">
        <v>0</v>
      </c>
      <c r="S61" s="17">
        <v>0</v>
      </c>
      <c r="T61" s="16">
        <v>0</v>
      </c>
      <c r="U61" s="16">
        <v>0</v>
      </c>
      <c r="V61" s="17">
        <v>0</v>
      </c>
      <c r="W61" s="16">
        <v>0</v>
      </c>
      <c r="X61" s="16">
        <v>0</v>
      </c>
      <c r="Y61" s="17">
        <v>0</v>
      </c>
      <c r="Z61" s="16">
        <v>0</v>
      </c>
      <c r="AA61" s="16">
        <v>0</v>
      </c>
      <c r="AB61" s="17">
        <v>0</v>
      </c>
      <c r="AC61" s="18">
        <f t="shared" si="34"/>
        <v>0</v>
      </c>
      <c r="AD61" s="136">
        <v>0</v>
      </c>
    </row>
    <row r="62" spans="1:30" ht="12.75">
      <c r="A62" s="3"/>
      <c r="B62" s="189" t="s">
        <v>21</v>
      </c>
      <c r="C62" s="190"/>
      <c r="D62" s="190"/>
      <c r="E62" s="16">
        <v>0</v>
      </c>
      <c r="F62" s="16">
        <v>0</v>
      </c>
      <c r="G62" s="17">
        <v>0</v>
      </c>
      <c r="H62" s="16">
        <v>0</v>
      </c>
      <c r="I62" s="16">
        <v>0</v>
      </c>
      <c r="J62" s="17">
        <v>0</v>
      </c>
      <c r="K62" s="16">
        <v>0</v>
      </c>
      <c r="L62" s="16">
        <v>0</v>
      </c>
      <c r="M62" s="17">
        <v>0</v>
      </c>
      <c r="N62" s="16">
        <v>0</v>
      </c>
      <c r="O62" s="16">
        <v>0</v>
      </c>
      <c r="P62" s="17">
        <v>0</v>
      </c>
      <c r="Q62" s="16">
        <v>0</v>
      </c>
      <c r="R62" s="16">
        <v>0</v>
      </c>
      <c r="S62" s="17">
        <v>0</v>
      </c>
      <c r="T62" s="16">
        <v>0</v>
      </c>
      <c r="U62" s="16">
        <v>0</v>
      </c>
      <c r="V62" s="17">
        <v>0</v>
      </c>
      <c r="W62" s="16">
        <v>0</v>
      </c>
      <c r="X62" s="16">
        <v>0</v>
      </c>
      <c r="Y62" s="17">
        <v>0</v>
      </c>
      <c r="Z62" s="16">
        <v>0</v>
      </c>
      <c r="AA62" s="16">
        <v>0</v>
      </c>
      <c r="AB62" s="17">
        <v>0</v>
      </c>
      <c r="AC62" s="18">
        <f t="shared" si="34"/>
        <v>0</v>
      </c>
      <c r="AD62" s="136">
        <v>0</v>
      </c>
    </row>
    <row r="63" spans="1:30" ht="12.75">
      <c r="A63" s="45"/>
      <c r="B63" s="89" t="s">
        <v>11</v>
      </c>
      <c r="C63" s="70"/>
      <c r="D63" s="70"/>
      <c r="E63" s="71">
        <f t="shared" ref="E63:AB63" si="35">SUM(E60:E62)</f>
        <v>0</v>
      </c>
      <c r="F63" s="71">
        <f t="shared" si="35"/>
        <v>0</v>
      </c>
      <c r="G63" s="72">
        <f t="shared" si="35"/>
        <v>0</v>
      </c>
      <c r="H63" s="71">
        <f t="shared" si="35"/>
        <v>0</v>
      </c>
      <c r="I63" s="71">
        <f t="shared" si="35"/>
        <v>0</v>
      </c>
      <c r="J63" s="72">
        <f t="shared" si="35"/>
        <v>0</v>
      </c>
      <c r="K63" s="71">
        <f t="shared" si="35"/>
        <v>0</v>
      </c>
      <c r="L63" s="71">
        <f t="shared" si="35"/>
        <v>0</v>
      </c>
      <c r="M63" s="72">
        <f t="shared" si="35"/>
        <v>0</v>
      </c>
      <c r="N63" s="71">
        <f t="shared" si="35"/>
        <v>0</v>
      </c>
      <c r="O63" s="71">
        <f t="shared" si="35"/>
        <v>0</v>
      </c>
      <c r="P63" s="72">
        <f t="shared" si="35"/>
        <v>0</v>
      </c>
      <c r="Q63" s="71">
        <f t="shared" si="35"/>
        <v>0</v>
      </c>
      <c r="R63" s="71">
        <f t="shared" si="35"/>
        <v>0</v>
      </c>
      <c r="S63" s="72">
        <f t="shared" si="35"/>
        <v>0</v>
      </c>
      <c r="T63" s="71">
        <f t="shared" si="35"/>
        <v>0</v>
      </c>
      <c r="U63" s="71">
        <f t="shared" si="35"/>
        <v>0</v>
      </c>
      <c r="V63" s="72">
        <f t="shared" si="35"/>
        <v>0</v>
      </c>
      <c r="W63" s="71">
        <f t="shared" si="35"/>
        <v>0</v>
      </c>
      <c r="X63" s="71">
        <f t="shared" si="35"/>
        <v>0</v>
      </c>
      <c r="Y63" s="72">
        <f t="shared" si="35"/>
        <v>0</v>
      </c>
      <c r="Z63" s="71">
        <f t="shared" si="35"/>
        <v>0</v>
      </c>
      <c r="AA63" s="71">
        <f t="shared" si="35"/>
        <v>0</v>
      </c>
      <c r="AB63" s="72">
        <f t="shared" si="35"/>
        <v>0</v>
      </c>
      <c r="AC63" s="73">
        <f t="shared" si="34"/>
        <v>0</v>
      </c>
      <c r="AD63" s="102">
        <f>SUM(AD60:AD62)</f>
        <v>0</v>
      </c>
    </row>
    <row r="64" spans="1:30" ht="12.75">
      <c r="A64" s="45"/>
      <c r="B64" s="93"/>
      <c r="C64" s="94"/>
      <c r="D64" s="94"/>
      <c r="E64" s="39"/>
      <c r="F64" s="39"/>
      <c r="G64" s="40"/>
      <c r="H64" s="39"/>
      <c r="I64" s="39"/>
      <c r="J64" s="40"/>
      <c r="K64" s="39"/>
      <c r="L64" s="39"/>
      <c r="M64" s="40"/>
      <c r="N64" s="39"/>
      <c r="O64" s="39"/>
      <c r="P64" s="40"/>
      <c r="Q64" s="39"/>
      <c r="R64" s="39"/>
      <c r="S64" s="40"/>
      <c r="T64" s="39"/>
      <c r="U64" s="39"/>
      <c r="V64" s="40"/>
      <c r="W64" s="39"/>
      <c r="X64" s="39"/>
      <c r="Y64" s="40"/>
      <c r="Z64" s="39"/>
      <c r="AA64" s="39"/>
      <c r="AB64" s="40"/>
      <c r="AC64" s="41"/>
      <c r="AD64" s="101"/>
    </row>
    <row r="65" spans="1:30" ht="12.75">
      <c r="A65" s="45"/>
      <c r="B65" s="110" t="s">
        <v>44</v>
      </c>
      <c r="C65" s="111"/>
      <c r="D65" s="111"/>
      <c r="E65" s="112">
        <f t="shared" ref="E65:AB65" si="36">E63+E57+E50+E41+E22</f>
        <v>0</v>
      </c>
      <c r="F65" s="112">
        <f t="shared" si="36"/>
        <v>0</v>
      </c>
      <c r="G65" s="112">
        <f t="shared" si="36"/>
        <v>0</v>
      </c>
      <c r="H65" s="112">
        <f t="shared" si="36"/>
        <v>0</v>
      </c>
      <c r="I65" s="112">
        <f t="shared" si="36"/>
        <v>0</v>
      </c>
      <c r="J65" s="112">
        <f t="shared" si="36"/>
        <v>0</v>
      </c>
      <c r="K65" s="112">
        <f t="shared" si="36"/>
        <v>0</v>
      </c>
      <c r="L65" s="112">
        <f t="shared" si="36"/>
        <v>0</v>
      </c>
      <c r="M65" s="112">
        <f t="shared" si="36"/>
        <v>0</v>
      </c>
      <c r="N65" s="112">
        <f t="shared" si="36"/>
        <v>0</v>
      </c>
      <c r="O65" s="112">
        <f t="shared" si="36"/>
        <v>0</v>
      </c>
      <c r="P65" s="112">
        <f t="shared" si="36"/>
        <v>0</v>
      </c>
      <c r="Q65" s="112">
        <f t="shared" si="36"/>
        <v>0</v>
      </c>
      <c r="R65" s="112">
        <f t="shared" si="36"/>
        <v>0</v>
      </c>
      <c r="S65" s="112">
        <f t="shared" si="36"/>
        <v>0</v>
      </c>
      <c r="T65" s="112">
        <f t="shared" si="36"/>
        <v>0</v>
      </c>
      <c r="U65" s="112">
        <f t="shared" si="36"/>
        <v>0</v>
      </c>
      <c r="V65" s="112">
        <f t="shared" si="36"/>
        <v>0</v>
      </c>
      <c r="W65" s="112">
        <f t="shared" si="36"/>
        <v>0</v>
      </c>
      <c r="X65" s="112">
        <f t="shared" si="36"/>
        <v>0</v>
      </c>
      <c r="Y65" s="112">
        <f t="shared" si="36"/>
        <v>0</v>
      </c>
      <c r="Z65" s="112">
        <f t="shared" si="36"/>
        <v>0</v>
      </c>
      <c r="AA65" s="112">
        <f t="shared" si="36"/>
        <v>0</v>
      </c>
      <c r="AB65" s="112">
        <f t="shared" si="36"/>
        <v>0</v>
      </c>
      <c r="AC65" s="113">
        <f>SUM(E65:AB65)</f>
        <v>0</v>
      </c>
      <c r="AD65" s="212"/>
    </row>
    <row r="66" spans="1:30" ht="12.75">
      <c r="A66" s="45"/>
      <c r="B66" s="114" t="s">
        <v>52</v>
      </c>
      <c r="C66" s="115"/>
      <c r="D66" s="115"/>
      <c r="E66" s="116">
        <f t="shared" ref="E66:AB66" si="37">E42+E23</f>
        <v>0</v>
      </c>
      <c r="F66" s="116">
        <f t="shared" si="37"/>
        <v>0</v>
      </c>
      <c r="G66" s="116">
        <f t="shared" si="37"/>
        <v>0</v>
      </c>
      <c r="H66" s="116">
        <f t="shared" si="37"/>
        <v>0</v>
      </c>
      <c r="I66" s="116">
        <f t="shared" si="37"/>
        <v>0</v>
      </c>
      <c r="J66" s="116">
        <f t="shared" si="37"/>
        <v>0</v>
      </c>
      <c r="K66" s="116">
        <f t="shared" si="37"/>
        <v>0</v>
      </c>
      <c r="L66" s="116">
        <f t="shared" si="37"/>
        <v>0</v>
      </c>
      <c r="M66" s="116">
        <f t="shared" si="37"/>
        <v>0</v>
      </c>
      <c r="N66" s="116">
        <f t="shared" si="37"/>
        <v>0</v>
      </c>
      <c r="O66" s="116">
        <f t="shared" si="37"/>
        <v>0</v>
      </c>
      <c r="P66" s="116">
        <f t="shared" si="37"/>
        <v>0</v>
      </c>
      <c r="Q66" s="116">
        <f t="shared" si="37"/>
        <v>0</v>
      </c>
      <c r="R66" s="116">
        <f t="shared" si="37"/>
        <v>0</v>
      </c>
      <c r="S66" s="116">
        <f t="shared" si="37"/>
        <v>0</v>
      </c>
      <c r="T66" s="116">
        <f t="shared" si="37"/>
        <v>0</v>
      </c>
      <c r="U66" s="116">
        <f t="shared" si="37"/>
        <v>0</v>
      </c>
      <c r="V66" s="116">
        <f t="shared" si="37"/>
        <v>0</v>
      </c>
      <c r="W66" s="116">
        <f t="shared" si="37"/>
        <v>0</v>
      </c>
      <c r="X66" s="116">
        <f t="shared" si="37"/>
        <v>0</v>
      </c>
      <c r="Y66" s="116">
        <f t="shared" si="37"/>
        <v>0</v>
      </c>
      <c r="Z66" s="116">
        <f t="shared" si="37"/>
        <v>0</v>
      </c>
      <c r="AA66" s="116">
        <f t="shared" si="37"/>
        <v>0</v>
      </c>
      <c r="AB66" s="116">
        <f t="shared" si="37"/>
        <v>0</v>
      </c>
      <c r="AC66" s="117">
        <f t="shared" ref="AC66" si="38">SUM(E66:AB66)</f>
        <v>0</v>
      </c>
      <c r="AD66" s="205"/>
    </row>
    <row r="67" spans="1:30" ht="12.75">
      <c r="A67" s="45"/>
      <c r="B67" s="114" t="s">
        <v>53</v>
      </c>
      <c r="C67" s="115"/>
      <c r="D67" s="115"/>
      <c r="E67" s="116">
        <f>E65+E66</f>
        <v>0</v>
      </c>
      <c r="F67" s="116">
        <f t="shared" ref="F67:AB67" si="39">F65+F66</f>
        <v>0</v>
      </c>
      <c r="G67" s="116">
        <f t="shared" si="39"/>
        <v>0</v>
      </c>
      <c r="H67" s="116">
        <f t="shared" si="39"/>
        <v>0</v>
      </c>
      <c r="I67" s="116">
        <f t="shared" si="39"/>
        <v>0</v>
      </c>
      <c r="J67" s="116">
        <f t="shared" si="39"/>
        <v>0</v>
      </c>
      <c r="K67" s="116">
        <f t="shared" si="39"/>
        <v>0</v>
      </c>
      <c r="L67" s="116">
        <f t="shared" si="39"/>
        <v>0</v>
      </c>
      <c r="M67" s="116">
        <f t="shared" si="39"/>
        <v>0</v>
      </c>
      <c r="N67" s="116">
        <f t="shared" si="39"/>
        <v>0</v>
      </c>
      <c r="O67" s="116">
        <f t="shared" si="39"/>
        <v>0</v>
      </c>
      <c r="P67" s="116">
        <f t="shared" si="39"/>
        <v>0</v>
      </c>
      <c r="Q67" s="116">
        <f t="shared" si="39"/>
        <v>0</v>
      </c>
      <c r="R67" s="116">
        <f t="shared" si="39"/>
        <v>0</v>
      </c>
      <c r="S67" s="116">
        <f t="shared" si="39"/>
        <v>0</v>
      </c>
      <c r="T67" s="116">
        <f t="shared" si="39"/>
        <v>0</v>
      </c>
      <c r="U67" s="116">
        <f t="shared" si="39"/>
        <v>0</v>
      </c>
      <c r="V67" s="116">
        <f t="shared" si="39"/>
        <v>0</v>
      </c>
      <c r="W67" s="116">
        <f t="shared" si="39"/>
        <v>0</v>
      </c>
      <c r="X67" s="116">
        <f t="shared" si="39"/>
        <v>0</v>
      </c>
      <c r="Y67" s="116">
        <f t="shared" si="39"/>
        <v>0</v>
      </c>
      <c r="Z67" s="116">
        <f t="shared" si="39"/>
        <v>0</v>
      </c>
      <c r="AA67" s="116">
        <f t="shared" si="39"/>
        <v>0</v>
      </c>
      <c r="AB67" s="116">
        <f t="shared" si="39"/>
        <v>0</v>
      </c>
      <c r="AC67" s="117">
        <f t="shared" si="34"/>
        <v>0</v>
      </c>
      <c r="AD67" s="205"/>
    </row>
    <row r="68" spans="1:30" ht="12.75">
      <c r="A68" s="45"/>
      <c r="B68" s="118" t="s">
        <v>58</v>
      </c>
      <c r="C68" s="119"/>
      <c r="D68" s="119"/>
      <c r="E68" s="120">
        <f>E67</f>
        <v>0</v>
      </c>
      <c r="F68" s="120">
        <f>E68+F67</f>
        <v>0</v>
      </c>
      <c r="G68" s="120">
        <f t="shared" ref="G68:AB68" si="40">F68+G67</f>
        <v>0</v>
      </c>
      <c r="H68" s="120">
        <f t="shared" si="40"/>
        <v>0</v>
      </c>
      <c r="I68" s="120">
        <f t="shared" si="40"/>
        <v>0</v>
      </c>
      <c r="J68" s="120">
        <f t="shared" si="40"/>
        <v>0</v>
      </c>
      <c r="K68" s="120">
        <f t="shared" si="40"/>
        <v>0</v>
      </c>
      <c r="L68" s="120">
        <f t="shared" si="40"/>
        <v>0</v>
      </c>
      <c r="M68" s="120">
        <f t="shared" si="40"/>
        <v>0</v>
      </c>
      <c r="N68" s="120">
        <f t="shared" si="40"/>
        <v>0</v>
      </c>
      <c r="O68" s="120">
        <f t="shared" si="40"/>
        <v>0</v>
      </c>
      <c r="P68" s="120">
        <f t="shared" si="40"/>
        <v>0</v>
      </c>
      <c r="Q68" s="120">
        <f t="shared" si="40"/>
        <v>0</v>
      </c>
      <c r="R68" s="120">
        <f t="shared" si="40"/>
        <v>0</v>
      </c>
      <c r="S68" s="120">
        <f t="shared" si="40"/>
        <v>0</v>
      </c>
      <c r="T68" s="120">
        <f t="shared" si="40"/>
        <v>0</v>
      </c>
      <c r="U68" s="120">
        <f t="shared" si="40"/>
        <v>0</v>
      </c>
      <c r="V68" s="120">
        <f t="shared" si="40"/>
        <v>0</v>
      </c>
      <c r="W68" s="120">
        <f t="shared" si="40"/>
        <v>0</v>
      </c>
      <c r="X68" s="120">
        <f t="shared" si="40"/>
        <v>0</v>
      </c>
      <c r="Y68" s="120">
        <f t="shared" si="40"/>
        <v>0</v>
      </c>
      <c r="Z68" s="120">
        <f t="shared" si="40"/>
        <v>0</v>
      </c>
      <c r="AA68" s="120">
        <f t="shared" si="40"/>
        <v>0</v>
      </c>
      <c r="AB68" s="120">
        <f t="shared" si="40"/>
        <v>0</v>
      </c>
      <c r="AC68" s="121"/>
      <c r="AD68" s="213"/>
    </row>
    <row r="69" spans="1:30" ht="12.75">
      <c r="A69" s="45"/>
      <c r="B69" s="86"/>
      <c r="C69" s="95"/>
      <c r="D69" s="95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100"/>
      <c r="AD69" s="101"/>
    </row>
    <row r="70" spans="1:30" ht="12.75">
      <c r="A70" s="45"/>
      <c r="B70" s="96" t="s">
        <v>22</v>
      </c>
      <c r="C70" s="68"/>
      <c r="D70" s="68"/>
      <c r="E70" s="209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98"/>
    </row>
    <row r="71" spans="1:30" s="156" customFormat="1" ht="12.75">
      <c r="A71" s="45"/>
      <c r="B71" s="162" t="s">
        <v>65</v>
      </c>
      <c r="C71" s="159"/>
      <c r="D71" s="160">
        <v>0</v>
      </c>
      <c r="E71" s="172">
        <f>D71-E72</f>
        <v>0</v>
      </c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63">
        <v>0</v>
      </c>
    </row>
    <row r="72" spans="1:30" s="156" customFormat="1" ht="12.75">
      <c r="A72" s="45"/>
      <c r="B72" s="162" t="s">
        <v>64</v>
      </c>
      <c r="C72" s="158"/>
      <c r="D72" s="161">
        <v>0</v>
      </c>
      <c r="E72" s="165">
        <f>D71*D72</f>
        <v>0</v>
      </c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4"/>
    </row>
    <row r="73" spans="1:30" ht="12.75">
      <c r="A73" s="45"/>
      <c r="B73" s="62" t="s">
        <v>42</v>
      </c>
      <c r="C73" s="130" t="s">
        <v>23</v>
      </c>
      <c r="D73" s="30">
        <v>0</v>
      </c>
      <c r="E73" s="221">
        <f>D73-E74</f>
        <v>0</v>
      </c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  <c r="AB73" s="221"/>
      <c r="AC73" s="221"/>
      <c r="AD73" s="163">
        <v>0</v>
      </c>
    </row>
    <row r="74" spans="1:30" ht="12.75">
      <c r="A74" s="45"/>
      <c r="B74" s="222" t="s">
        <v>57</v>
      </c>
      <c r="C74" s="223"/>
      <c r="D74" s="135">
        <v>0</v>
      </c>
      <c r="E74" s="221">
        <f>D73*D74</f>
        <v>0</v>
      </c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  <c r="AB74" s="221"/>
      <c r="AC74" s="221"/>
      <c r="AD74" s="164"/>
    </row>
    <row r="75" spans="1:30" ht="12.75">
      <c r="A75" s="3"/>
      <c r="B75" s="62" t="s">
        <v>60</v>
      </c>
      <c r="C75" s="129" t="s">
        <v>24</v>
      </c>
      <c r="D75" s="131">
        <v>0</v>
      </c>
      <c r="E75" s="220">
        <f>D75</f>
        <v>0</v>
      </c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05" t="s">
        <v>54</v>
      </c>
    </row>
    <row r="76" spans="1:30" ht="12.75">
      <c r="A76" s="3"/>
      <c r="B76" s="132" t="s">
        <v>25</v>
      </c>
      <c r="C76" s="133"/>
      <c r="D76" s="133"/>
      <c r="E76" s="218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19"/>
      <c r="AB76" s="219"/>
      <c r="AC76" s="134">
        <f>D73+D75+D71</f>
        <v>0</v>
      </c>
      <c r="AD76" s="213"/>
    </row>
    <row r="77" spans="1:30" ht="13.5" thickBot="1">
      <c r="A77" s="5"/>
      <c r="B77" s="215" t="s">
        <v>26</v>
      </c>
      <c r="C77" s="216"/>
      <c r="D77" s="97"/>
      <c r="E77" s="217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103">
        <f>AC76+AC67</f>
        <v>0</v>
      </c>
      <c r="AD77" s="104">
        <f>AD73+AD63+AD57+AD50+AD43+AD24</f>
        <v>0</v>
      </c>
    </row>
    <row r="78" spans="1:30" ht="12.7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30" ht="12.7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30" ht="12.75">
      <c r="A80" s="45"/>
      <c r="B80" s="199" t="s">
        <v>27</v>
      </c>
      <c r="C80" s="168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spans="1:29" ht="14.1" customHeight="1">
      <c r="A81" s="45"/>
      <c r="B81" s="4" t="s">
        <v>28</v>
      </c>
      <c r="C81" s="11" t="s">
        <v>29</v>
      </c>
      <c r="D81" s="122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 spans="1:29" ht="12.75">
      <c r="A82" s="45"/>
      <c r="B82" s="4" t="s">
        <v>30</v>
      </c>
      <c r="C82" s="12" t="s">
        <v>31</v>
      </c>
      <c r="D82" s="123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 spans="1:29" ht="12.75">
      <c r="A83" s="45"/>
      <c r="B83" s="6"/>
      <c r="C83" s="6"/>
      <c r="D83" s="6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 spans="1:29" ht="12.75">
      <c r="A84" s="45"/>
      <c r="B84" s="167" t="s">
        <v>32</v>
      </c>
      <c r="C84" s="168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  <row r="85" spans="1:29" ht="23.1" customHeight="1">
      <c r="A85" s="45"/>
      <c r="B85" s="196" t="s">
        <v>33</v>
      </c>
      <c r="C85" s="168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</row>
    <row r="86" spans="1:29" ht="6.75" customHeight="1">
      <c r="A86" s="45"/>
      <c r="B86" s="128"/>
      <c r="C86" s="128"/>
      <c r="D86" s="128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</row>
    <row r="87" spans="1:29" ht="12.75">
      <c r="A87" s="45"/>
      <c r="B87" s="195" t="s">
        <v>56</v>
      </c>
      <c r="C87" s="168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</row>
    <row r="88" spans="1:29" ht="12.75">
      <c r="A88" s="45"/>
      <c r="B88" s="194" t="s">
        <v>69</v>
      </c>
      <c r="C88" s="168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</row>
    <row r="89" spans="1:29" ht="12" customHeight="1">
      <c r="A89" s="45"/>
      <c r="B89" s="168"/>
      <c r="C89" s="168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</row>
    <row r="90" spans="1:29" ht="6" customHeight="1">
      <c r="A90" s="45"/>
      <c r="B90" s="8"/>
      <c r="C90" s="8"/>
      <c r="D90" s="8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</row>
    <row r="91" spans="1:29" ht="12.75">
      <c r="A91" s="45"/>
      <c r="B91" s="167" t="s">
        <v>59</v>
      </c>
      <c r="C91" s="168"/>
      <c r="E91" s="3"/>
      <c r="F91" s="3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 spans="1:29" ht="12.75">
      <c r="A92" s="45"/>
      <c r="B92" s="194" t="s">
        <v>55</v>
      </c>
      <c r="C92" s="168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</row>
    <row r="93" spans="1:29" ht="41.25" customHeight="1">
      <c r="A93" s="45"/>
      <c r="B93" s="168"/>
      <c r="C93" s="168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 spans="1:29" ht="12.75">
      <c r="A94" s="45"/>
      <c r="B94" s="167" t="s">
        <v>66</v>
      </c>
      <c r="C94" s="168"/>
      <c r="D94" s="6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</row>
    <row r="95" spans="1:29" ht="12.75">
      <c r="A95" s="45"/>
      <c r="B95" s="194" t="s">
        <v>67</v>
      </c>
      <c r="C95" s="168"/>
      <c r="D95" s="6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</row>
    <row r="96" spans="1:29" ht="12.75">
      <c r="A96" s="45"/>
      <c r="B96" s="168"/>
      <c r="C96" s="168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</row>
    <row r="97" spans="1:29" ht="12.75">
      <c r="A97" s="45"/>
      <c r="B97" s="10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</row>
    <row r="98" spans="1:29" ht="12.7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</row>
    <row r="99" spans="1:29" ht="12.7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</row>
    <row r="100" spans="1:29" ht="12.7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</row>
    <row r="101" spans="1:29" ht="12.7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</row>
    <row r="102" spans="1:29" ht="12.7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</row>
    <row r="103" spans="1:29" ht="12.7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</row>
    <row r="104" spans="1:29" ht="12.7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</row>
    <row r="105" spans="1:29" ht="12.7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</row>
    <row r="106" spans="1:29" ht="12.7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</row>
    <row r="107" spans="1:29" ht="12.7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</row>
    <row r="108" spans="1:29" ht="12.7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</row>
    <row r="109" spans="1:29" ht="12.7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</row>
    <row r="110" spans="1:29" ht="12.7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</row>
    <row r="111" spans="1:29" ht="12.7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</row>
    <row r="112" spans="1:29" ht="12.7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</row>
    <row r="113" spans="1:29" ht="12.7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</row>
    <row r="114" spans="1:29" ht="12.7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</row>
    <row r="115" spans="1:29" ht="12.7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</row>
    <row r="116" spans="1:29" ht="12.7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</row>
    <row r="117" spans="1:29" ht="12.7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</row>
    <row r="118" spans="1:29" ht="12.7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</row>
    <row r="119" spans="1:29" ht="12.7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</row>
    <row r="120" spans="1:29" ht="12.7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</row>
    <row r="121" spans="1:29" ht="12.7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</row>
    <row r="122" spans="1:29" ht="12.7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</row>
    <row r="123" spans="1:29" ht="12.7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</row>
    <row r="124" spans="1:29" ht="12.7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</row>
    <row r="125" spans="1:29" ht="12.7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</row>
    <row r="126" spans="1:29" ht="12.7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</row>
    <row r="127" spans="1:29" ht="12.7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</row>
    <row r="128" spans="1:29" ht="12.7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</row>
    <row r="129" spans="1:29" ht="12.7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</row>
    <row r="130" spans="1:29" ht="12.7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</row>
    <row r="131" spans="1:29" ht="12.7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</row>
    <row r="132" spans="1:29" ht="12.7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</row>
    <row r="133" spans="1:29" ht="12.7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</row>
    <row r="134" spans="1:29" ht="12.7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</row>
    <row r="135" spans="1:29" ht="12.7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</row>
    <row r="136" spans="1:29" ht="12.7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</row>
    <row r="137" spans="1:29" ht="12.7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</row>
    <row r="138" spans="1:29" ht="12.7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</row>
    <row r="139" spans="1:29" ht="12.7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</row>
    <row r="140" spans="1:29" ht="12.7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</row>
    <row r="141" spans="1:29" ht="12.7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</row>
    <row r="142" spans="1:29" ht="12.7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</row>
    <row r="143" spans="1:29" ht="12.7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</row>
    <row r="144" spans="1:29" ht="12.7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</row>
    <row r="145" spans="1:29" ht="12.7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</row>
    <row r="146" spans="1:29" ht="12.7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</row>
    <row r="147" spans="1:29" ht="12.7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</row>
    <row r="148" spans="1:29" ht="12.7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</row>
    <row r="149" spans="1:29" ht="12.7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</row>
    <row r="150" spans="1:29" ht="12.7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</row>
    <row r="151" spans="1:29" ht="12.7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</row>
    <row r="152" spans="1:29" ht="12.7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</row>
    <row r="153" spans="1:29" ht="12.7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</row>
    <row r="154" spans="1:29" ht="12.7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</row>
    <row r="155" spans="1:29" ht="12.7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</row>
    <row r="156" spans="1:29" ht="12.7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</row>
    <row r="157" spans="1:29" ht="12.7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</row>
    <row r="158" spans="1:29" ht="12.7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</row>
    <row r="159" spans="1:29" ht="12.7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</row>
    <row r="160" spans="1:29" ht="12.7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</row>
    <row r="161" spans="1:29" ht="12.7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</row>
    <row r="162" spans="1:29" ht="12.7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</row>
    <row r="163" spans="1:29" ht="12.7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</row>
    <row r="164" spans="1:29" ht="12.7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</row>
    <row r="165" spans="1:29" ht="12.7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</row>
    <row r="166" spans="1:29" ht="12.7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</row>
    <row r="167" spans="1:29" ht="12.7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</row>
    <row r="168" spans="1:29" ht="12.7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</row>
    <row r="169" spans="1:29" ht="12.7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</row>
    <row r="170" spans="1:29" ht="12.7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</row>
    <row r="171" spans="1:29" ht="12.7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</row>
    <row r="172" spans="1:29" ht="12.7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</row>
    <row r="173" spans="1:29" ht="12.7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</row>
    <row r="174" spans="1:29" ht="12.7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</row>
    <row r="175" spans="1:29" ht="12.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</row>
    <row r="176" spans="1:29" ht="12.7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</row>
    <row r="177" spans="1:29" ht="12.7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</row>
    <row r="178" spans="1:29" ht="12.7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</row>
    <row r="179" spans="1:29" ht="12.7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</row>
    <row r="180" spans="1:29" ht="12.7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</row>
    <row r="181" spans="1:29" ht="12.7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</row>
    <row r="182" spans="1:29" ht="12.7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</row>
    <row r="183" spans="1:29" ht="12.7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</row>
    <row r="184" spans="1:29" ht="12.7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</row>
    <row r="185" spans="1:29" ht="12.7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</row>
    <row r="186" spans="1:29" ht="12.7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</row>
    <row r="187" spans="1:29" ht="12.7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</row>
    <row r="188" spans="1:29" ht="12.7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</row>
    <row r="189" spans="1:29" ht="12.7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</row>
    <row r="190" spans="1:29" ht="12.7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</row>
    <row r="191" spans="1:29" ht="12.7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</row>
    <row r="192" spans="1:29" ht="12.7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</row>
    <row r="193" spans="1:29" ht="12.7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</row>
    <row r="194" spans="1:29" ht="12.7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</row>
    <row r="195" spans="1:29" ht="12.7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</row>
    <row r="196" spans="1:29" ht="12.7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</row>
    <row r="197" spans="1:29" ht="12.7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</row>
    <row r="198" spans="1:29" ht="12.7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</row>
    <row r="199" spans="1:29" ht="12.7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</row>
    <row r="200" spans="1:29" ht="12.7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</row>
    <row r="201" spans="1:29" ht="12.7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</row>
    <row r="202" spans="1:29" ht="12.7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</row>
    <row r="203" spans="1:29" ht="12.7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</row>
    <row r="204" spans="1:29" ht="12.7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</row>
    <row r="205" spans="1:29" ht="12.7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</row>
    <row r="206" spans="1:29" ht="12.7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</row>
    <row r="207" spans="1:29" ht="12.7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</row>
    <row r="208" spans="1:29" ht="12.7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</row>
    <row r="209" spans="1:29" ht="12.7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</row>
    <row r="210" spans="1:29" ht="12.7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</row>
    <row r="211" spans="1:29" ht="12.7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</row>
    <row r="212" spans="1:29" ht="12.7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</row>
    <row r="213" spans="1:29" ht="12.7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</row>
    <row r="214" spans="1:29" ht="12.7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</row>
    <row r="215" spans="1:29" ht="12.7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</row>
    <row r="216" spans="1:29" ht="12.7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</row>
    <row r="217" spans="1:29" ht="12.7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</row>
    <row r="218" spans="1:29" ht="12.7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</row>
    <row r="219" spans="1:29" ht="12.7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</row>
    <row r="220" spans="1:29" ht="12.7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</row>
    <row r="221" spans="1:29" ht="12.7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</row>
    <row r="222" spans="1:29" ht="12.7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</row>
    <row r="223" spans="1:29" ht="12.7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</row>
    <row r="224" spans="1:29" ht="12.7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</row>
    <row r="225" spans="1:29" ht="12.7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</row>
    <row r="226" spans="1:29" ht="12.7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</row>
    <row r="227" spans="1:29" ht="12.7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</row>
    <row r="228" spans="1:29" ht="12.7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</row>
    <row r="229" spans="1:29" ht="12.7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</row>
    <row r="230" spans="1:29" ht="12.7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</row>
    <row r="231" spans="1:29" ht="12.7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</row>
    <row r="232" spans="1:29" ht="12.7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</row>
    <row r="233" spans="1:29" ht="12.7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</row>
    <row r="234" spans="1:29" ht="12.7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</row>
    <row r="235" spans="1:29" ht="12.7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</row>
    <row r="236" spans="1:29" ht="12.7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</row>
    <row r="237" spans="1:29" ht="12.7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</row>
    <row r="238" spans="1:29" ht="12.7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</row>
    <row r="239" spans="1:29" ht="12.7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</row>
    <row r="240" spans="1:29" ht="12.7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</row>
    <row r="241" spans="1:29" ht="12.7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</row>
    <row r="242" spans="1:29" ht="12.7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</row>
    <row r="243" spans="1:29" ht="12.7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</row>
    <row r="244" spans="1:29" ht="12.7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</row>
    <row r="245" spans="1:29" ht="12.7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</row>
    <row r="246" spans="1:29" ht="12.7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</row>
    <row r="247" spans="1:29" ht="12.7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</row>
    <row r="248" spans="1:29" ht="12.7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</row>
    <row r="249" spans="1:29" ht="12.7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</row>
    <row r="250" spans="1:29" ht="12.7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</row>
    <row r="251" spans="1:29" ht="12.7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</row>
    <row r="252" spans="1:29" ht="12.7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</row>
    <row r="253" spans="1:29" ht="12.7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</row>
    <row r="254" spans="1:29" ht="12.7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</row>
    <row r="255" spans="1:29" ht="12.7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</row>
    <row r="256" spans="1:29" ht="12.7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</row>
    <row r="257" spans="1:29" ht="12.7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</row>
    <row r="258" spans="1:29" ht="12.7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</row>
    <row r="259" spans="1:29" ht="12.7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</row>
    <row r="260" spans="1:29" ht="12.7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</row>
    <row r="261" spans="1:29" ht="12.7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</row>
    <row r="262" spans="1:29" ht="12.7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</row>
    <row r="263" spans="1:29" ht="12.7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</row>
    <row r="264" spans="1:29" ht="12.7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</row>
    <row r="265" spans="1:29" ht="12.7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</row>
    <row r="266" spans="1:29" ht="12.7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</row>
    <row r="267" spans="1:29" ht="12.7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</row>
    <row r="268" spans="1:29" ht="12.7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</row>
    <row r="269" spans="1:29" ht="12.7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</row>
    <row r="270" spans="1:29" ht="12.7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</row>
    <row r="271" spans="1:29" ht="12.7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</row>
    <row r="272" spans="1:29" ht="12.7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</row>
    <row r="273" spans="1:29" ht="12.7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</row>
    <row r="274" spans="1:29" ht="12.7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</row>
    <row r="275" spans="1:29" ht="12.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</row>
    <row r="276" spans="1:29" ht="12.7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</row>
    <row r="277" spans="1:29" ht="12.7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</row>
    <row r="278" spans="1:29" ht="12.7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</row>
    <row r="279" spans="1:29" ht="12.7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</row>
    <row r="280" spans="1:29" ht="12.7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</row>
    <row r="281" spans="1:29" ht="12.7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</row>
    <row r="282" spans="1:29" ht="12.7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</row>
    <row r="283" spans="1:29" ht="12.7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</row>
    <row r="284" spans="1:29" ht="12.7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</row>
    <row r="285" spans="1:29" ht="12.7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</row>
    <row r="286" spans="1:29" ht="12.7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</row>
    <row r="287" spans="1:29" ht="12.7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</row>
    <row r="288" spans="1:29" ht="12.7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</row>
    <row r="289" spans="1:29" ht="12.7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</row>
    <row r="290" spans="1:29" ht="12.7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</row>
    <row r="291" spans="1:29" ht="12.7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</row>
    <row r="292" spans="1:29" ht="12.7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</row>
    <row r="293" spans="1:29" ht="12.7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</row>
    <row r="294" spans="1:29" ht="12.7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</row>
    <row r="295" spans="1:29" ht="12.7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</row>
    <row r="296" spans="1:29" ht="12.7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</row>
    <row r="297" spans="1:29" ht="12.7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</row>
    <row r="298" spans="1:29" ht="12.7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</row>
    <row r="299" spans="1:29" ht="12.7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</row>
    <row r="300" spans="1:29" ht="12.7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</row>
    <row r="301" spans="1:29" ht="12.7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</row>
    <row r="302" spans="1:29" ht="12.7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</row>
    <row r="303" spans="1:29" ht="12.7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</row>
    <row r="304" spans="1:29" ht="12.7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</row>
    <row r="305" spans="1:29" ht="12.7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</row>
    <row r="306" spans="1:29" ht="12.7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</row>
    <row r="307" spans="1:29" ht="12.7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</row>
    <row r="308" spans="1:29" ht="12.7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</row>
    <row r="309" spans="1:29" ht="12.7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</row>
    <row r="310" spans="1:29" ht="12.7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</row>
    <row r="311" spans="1:29" ht="12.7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</row>
    <row r="312" spans="1:29" ht="12.7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</row>
    <row r="313" spans="1:29" ht="12.7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</row>
    <row r="314" spans="1:29" ht="12.7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</row>
    <row r="315" spans="1:29" ht="12.7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</row>
    <row r="316" spans="1:29" ht="12.7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</row>
    <row r="317" spans="1:29" ht="12.7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</row>
    <row r="318" spans="1:29" ht="12.7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</row>
    <row r="319" spans="1:29" ht="12.7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</row>
    <row r="320" spans="1:29" ht="12.7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</row>
    <row r="321" spans="1:29" ht="12.7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</row>
    <row r="322" spans="1:29" ht="12.7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</row>
    <row r="323" spans="1:29" ht="12.7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</row>
    <row r="324" spans="1:29" ht="12.7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</row>
    <row r="325" spans="1:29" ht="12.7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</row>
    <row r="326" spans="1:29" ht="12.7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</row>
    <row r="327" spans="1:29" ht="12.7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</row>
    <row r="328" spans="1:29" ht="12.7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</row>
    <row r="329" spans="1:29" ht="12.7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</row>
    <row r="330" spans="1:29" ht="12.7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</row>
    <row r="331" spans="1:29" ht="12.7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</row>
    <row r="332" spans="1:29" ht="12.7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</row>
    <row r="333" spans="1:29" ht="12.7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</row>
    <row r="334" spans="1:29" ht="12.7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</row>
    <row r="335" spans="1:29" ht="12.7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</row>
    <row r="336" spans="1:29" ht="12.7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</row>
    <row r="337" spans="1:29" ht="12.7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</row>
    <row r="338" spans="1:29" ht="12.7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</row>
    <row r="339" spans="1:29" ht="12.7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</row>
    <row r="340" spans="1:29" ht="12.7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</row>
    <row r="341" spans="1:29" ht="12.7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</row>
    <row r="342" spans="1:29" ht="12.7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</row>
    <row r="343" spans="1:29" ht="12.7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</row>
    <row r="344" spans="1:29" ht="12.7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</row>
    <row r="345" spans="1:29" ht="12.7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</row>
    <row r="346" spans="1:29" ht="12.7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</row>
    <row r="347" spans="1:29" ht="12.7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</row>
    <row r="348" spans="1:29" ht="12.7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</row>
    <row r="349" spans="1:29" ht="12.7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</row>
    <row r="350" spans="1:29" ht="12.7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</row>
    <row r="351" spans="1:29" ht="12.7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</row>
    <row r="352" spans="1:29" ht="12.7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</row>
    <row r="353" spans="1:29" ht="12.7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</row>
    <row r="354" spans="1:29" ht="12.7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</row>
    <row r="355" spans="1:29" ht="12.7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</row>
    <row r="356" spans="1:29" ht="12.7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</row>
    <row r="357" spans="1:29" ht="12.7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</row>
    <row r="358" spans="1:29" ht="12.7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</row>
    <row r="359" spans="1:29" ht="12.7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</row>
    <row r="360" spans="1:29" ht="12.7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</row>
    <row r="361" spans="1:29" ht="12.7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</row>
    <row r="362" spans="1:29" ht="12.7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</row>
    <row r="363" spans="1:29" ht="12.7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</row>
    <row r="364" spans="1:29" ht="12.7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</row>
    <row r="365" spans="1:29" ht="12.7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</row>
    <row r="366" spans="1:29" ht="12.7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</row>
    <row r="367" spans="1:29" ht="12.7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</row>
    <row r="368" spans="1:29" ht="12.7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</row>
    <row r="369" spans="1:29" ht="12.7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</row>
    <row r="370" spans="1:29" ht="12.7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</row>
    <row r="371" spans="1:29" ht="12.7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</row>
    <row r="372" spans="1:29" ht="12.7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</row>
    <row r="373" spans="1:29" ht="12.7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</row>
    <row r="374" spans="1:29" ht="12.7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</row>
    <row r="375" spans="1:29" ht="12.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</row>
    <row r="376" spans="1:29" ht="12.7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</row>
    <row r="377" spans="1:29" ht="12.7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</row>
    <row r="378" spans="1:29" ht="12.7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</row>
    <row r="379" spans="1:29" ht="12.7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</row>
    <row r="380" spans="1:29" ht="12.7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</row>
    <row r="381" spans="1:29" ht="12.7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</row>
    <row r="382" spans="1:29" ht="12.7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</row>
    <row r="383" spans="1:29" ht="12.7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</row>
    <row r="384" spans="1:29" ht="12.7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</row>
    <row r="385" spans="1:29" ht="12.7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</row>
    <row r="386" spans="1:29" ht="12.7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</row>
    <row r="387" spans="1:29" ht="12.7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</row>
    <row r="388" spans="1:29" ht="12.7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</row>
    <row r="389" spans="1:29" ht="12.7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</row>
    <row r="390" spans="1:29" ht="12.7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</row>
    <row r="391" spans="1:29" ht="12.7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</row>
    <row r="392" spans="1:29" ht="12.7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</row>
    <row r="393" spans="1:29" ht="12.7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</row>
    <row r="394" spans="1:29" ht="12.7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</row>
    <row r="395" spans="1:29" ht="12.7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</row>
    <row r="396" spans="1:29" ht="12.7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</row>
    <row r="397" spans="1:29" ht="12.7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</row>
    <row r="398" spans="1:29" ht="12.7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</row>
    <row r="399" spans="1:29" ht="12.7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</row>
    <row r="400" spans="1:29" ht="12.7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</row>
    <row r="401" spans="1:29" ht="12.7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</row>
    <row r="402" spans="1:29" ht="12.7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</row>
    <row r="403" spans="1:29" ht="12.7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</row>
    <row r="404" spans="1:29" ht="12.7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</row>
    <row r="405" spans="1:29" ht="12.7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</row>
    <row r="406" spans="1:29" ht="12.7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</row>
    <row r="407" spans="1:29" ht="12.7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</row>
    <row r="408" spans="1:29" ht="12.7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</row>
    <row r="409" spans="1:29" ht="12.7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</row>
    <row r="410" spans="1:29" ht="12.7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</row>
    <row r="411" spans="1:29" ht="12.7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</row>
    <row r="412" spans="1:29" ht="12.7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</row>
    <row r="413" spans="1:29" ht="12.7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</row>
    <row r="414" spans="1:29" ht="12.7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</row>
    <row r="415" spans="1:29" ht="12.7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</row>
    <row r="416" spans="1:29" ht="12.7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</row>
    <row r="417" spans="1:29" ht="12.7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</row>
    <row r="418" spans="1:29" ht="12.7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</row>
    <row r="419" spans="1:29" ht="12.7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</row>
    <row r="420" spans="1:29" ht="12.7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</row>
    <row r="421" spans="1:29" ht="12.7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</row>
    <row r="422" spans="1:29" ht="12.7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</row>
    <row r="423" spans="1:29" ht="12.7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</row>
    <row r="424" spans="1:29" ht="12.7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</row>
    <row r="425" spans="1:29" ht="12.7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</row>
    <row r="426" spans="1:29" ht="12.7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</row>
    <row r="427" spans="1:29" ht="12.7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</row>
    <row r="428" spans="1:29" ht="12.7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</row>
    <row r="429" spans="1:29" ht="12.7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</row>
    <row r="430" spans="1:29" ht="12.7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</row>
    <row r="431" spans="1:29" ht="12.7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</row>
    <row r="432" spans="1:29" ht="12.7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</row>
    <row r="433" spans="1:29" ht="12.7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</row>
    <row r="434" spans="1:29" ht="12.7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</row>
    <row r="435" spans="1:29" ht="12.7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</row>
    <row r="436" spans="1:29" ht="12.7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</row>
    <row r="437" spans="1:29" ht="12.7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</row>
    <row r="438" spans="1:29" ht="12.7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</row>
    <row r="439" spans="1:29" ht="12.7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</row>
    <row r="440" spans="1:29" ht="12.7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</row>
    <row r="441" spans="1:29" ht="12.7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</row>
    <row r="442" spans="1:29" ht="12.7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</row>
    <row r="443" spans="1:29" ht="12.7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</row>
    <row r="444" spans="1:29" ht="12.7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</row>
    <row r="445" spans="1:29" ht="12.7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</row>
    <row r="446" spans="1:29" ht="12.7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</row>
    <row r="447" spans="1:29" ht="12.7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</row>
    <row r="448" spans="1:29" ht="12.7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</row>
    <row r="449" spans="1:29" ht="12.7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</row>
    <row r="450" spans="1:29" ht="12.7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</row>
    <row r="451" spans="1:29" ht="12.7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</row>
    <row r="452" spans="1:29" ht="12.7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</row>
    <row r="453" spans="1:29" ht="12.7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</row>
    <row r="454" spans="1:29" ht="12.7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</row>
    <row r="455" spans="1:29" ht="12.7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</row>
    <row r="456" spans="1:29" ht="12.7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</row>
    <row r="457" spans="1:29" ht="12.7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</row>
    <row r="458" spans="1:29" ht="12.7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</row>
    <row r="459" spans="1:29" ht="12.7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</row>
    <row r="460" spans="1:29" ht="12.7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</row>
    <row r="461" spans="1:29" ht="12.7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</row>
    <row r="462" spans="1:29" ht="12.7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</row>
    <row r="463" spans="1:29" ht="12.7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</row>
    <row r="464" spans="1:29" ht="12.7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</row>
    <row r="465" spans="1:29" ht="12.7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</row>
    <row r="466" spans="1:29" ht="12.7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</row>
    <row r="467" spans="1:29" ht="12.7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</row>
    <row r="468" spans="1:29" ht="12.7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</row>
    <row r="469" spans="1:29" ht="12.7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</row>
    <row r="470" spans="1:29" ht="12.7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</row>
    <row r="471" spans="1:29" ht="12.7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</row>
    <row r="472" spans="1:29" ht="12.7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</row>
    <row r="473" spans="1:29" ht="12.7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</row>
    <row r="474" spans="1:29" ht="12.7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</row>
    <row r="475" spans="1:29" ht="12.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</row>
    <row r="476" spans="1:29" ht="12.7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</row>
    <row r="477" spans="1:29" ht="12.7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</row>
    <row r="478" spans="1:29" ht="12.7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</row>
    <row r="479" spans="1:29" ht="12.7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</row>
    <row r="480" spans="1:29" ht="12.7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</row>
    <row r="481" spans="1:29" ht="12.7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</row>
    <row r="482" spans="1:29" ht="12.7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</row>
    <row r="483" spans="1:29" ht="12.7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</row>
    <row r="484" spans="1:29" ht="12.7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</row>
    <row r="485" spans="1:29" ht="12.7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</row>
    <row r="486" spans="1:29" ht="12.7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</row>
    <row r="487" spans="1:29" ht="12.7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</row>
    <row r="488" spans="1:29" ht="12.7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</row>
    <row r="489" spans="1:29" ht="12.7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</row>
    <row r="490" spans="1:29" ht="12.7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</row>
    <row r="491" spans="1:29" ht="12.7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</row>
    <row r="492" spans="1:29" ht="12.7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</row>
    <row r="493" spans="1:29" ht="12.7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</row>
    <row r="494" spans="1:29" ht="12.7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</row>
    <row r="495" spans="1:29" ht="12.7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</row>
    <row r="496" spans="1:29" ht="12.7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</row>
    <row r="497" spans="1:29" ht="12.7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</row>
    <row r="498" spans="1:29" ht="12.7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</row>
    <row r="499" spans="1:29" ht="12.7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</row>
    <row r="500" spans="1:29" ht="12.7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</row>
    <row r="501" spans="1:29" ht="12.7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</row>
    <row r="502" spans="1:29" ht="12.7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</row>
    <row r="503" spans="1:29" ht="12.7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</row>
    <row r="504" spans="1:29" ht="12.7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</row>
    <row r="505" spans="1:29" ht="12.7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</row>
    <row r="506" spans="1:29" ht="12.7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</row>
    <row r="507" spans="1:29" ht="12.7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</row>
    <row r="508" spans="1:29" ht="12.7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</row>
    <row r="509" spans="1:29" ht="12.7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</row>
    <row r="510" spans="1:29" ht="12.7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</row>
    <row r="511" spans="1:29" ht="12.7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</row>
    <row r="512" spans="1:29" ht="12.7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</row>
    <row r="513" spans="1:29" ht="12.7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</row>
    <row r="514" spans="1:29" ht="12.7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</row>
    <row r="515" spans="1:29" ht="12.7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</row>
    <row r="516" spans="1:29" ht="12.7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</row>
    <row r="517" spans="1:29" ht="12.7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</row>
    <row r="518" spans="1:29" ht="12.7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</row>
    <row r="519" spans="1:29" ht="12.7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</row>
    <row r="520" spans="1:29" ht="12.7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</row>
    <row r="521" spans="1:29" ht="12.7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</row>
    <row r="522" spans="1:29" ht="12.7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</row>
    <row r="523" spans="1:29" ht="12.7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</row>
    <row r="524" spans="1:29" ht="12.7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</row>
    <row r="525" spans="1:29" ht="12.7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</row>
    <row r="526" spans="1:29" ht="12.7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</row>
    <row r="527" spans="1:29" ht="12.7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</row>
    <row r="528" spans="1:29" ht="12.7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</row>
    <row r="529" spans="1:29" ht="12.7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</row>
    <row r="530" spans="1:29" ht="12.7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</row>
    <row r="531" spans="1:29" ht="12.7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</row>
    <row r="532" spans="1:29" ht="12.7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</row>
    <row r="533" spans="1:29" ht="12.7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</row>
    <row r="534" spans="1:29" ht="12.7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</row>
    <row r="535" spans="1:29" ht="12.7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</row>
    <row r="536" spans="1:29" ht="12.7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</row>
    <row r="537" spans="1:29" ht="12.7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</row>
    <row r="538" spans="1:29" ht="12.7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</row>
    <row r="539" spans="1:29" ht="12.7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</row>
    <row r="540" spans="1:29" ht="12.7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</row>
    <row r="541" spans="1:29" ht="12.7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</row>
    <row r="542" spans="1:29" ht="12.7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</row>
    <row r="543" spans="1:29" ht="12.7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</row>
    <row r="544" spans="1:29" ht="12.7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</row>
    <row r="545" spans="1:29" ht="12.7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</row>
    <row r="546" spans="1:29" ht="12.7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</row>
    <row r="547" spans="1:29" ht="12.7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</row>
    <row r="548" spans="1:29" ht="12.7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</row>
    <row r="549" spans="1:29" ht="12.7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</row>
    <row r="550" spans="1:29" ht="12.7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</row>
    <row r="551" spans="1:29" ht="12.7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</row>
    <row r="552" spans="1:29" ht="12.7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</row>
    <row r="553" spans="1:29" ht="12.7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</row>
    <row r="554" spans="1:29" ht="12.7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</row>
    <row r="555" spans="1:29" ht="12.7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</row>
    <row r="556" spans="1:29" ht="12.7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</row>
    <row r="557" spans="1:29" ht="12.7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</row>
    <row r="558" spans="1:29" ht="12.7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</row>
    <row r="559" spans="1:29" ht="12.7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</row>
    <row r="560" spans="1:29" ht="12.7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</row>
    <row r="561" spans="1:29" ht="12.7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</row>
    <row r="562" spans="1:29" ht="12.7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</row>
    <row r="563" spans="1:29" ht="12.7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</row>
    <row r="564" spans="1:29" ht="12.7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</row>
    <row r="565" spans="1:29" ht="12.7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</row>
    <row r="566" spans="1:29" ht="12.7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</row>
    <row r="567" spans="1:29" ht="12.7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</row>
    <row r="568" spans="1:29" ht="12.7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</row>
    <row r="569" spans="1:29" ht="12.7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</row>
    <row r="570" spans="1:29" ht="12.7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</row>
    <row r="571" spans="1:29" ht="12.7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</row>
    <row r="572" spans="1:29" ht="12.7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</row>
    <row r="573" spans="1:29" ht="12.7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</row>
    <row r="574" spans="1:29" ht="12.7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</row>
    <row r="575" spans="1:29" ht="12.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</row>
    <row r="576" spans="1:29" ht="12.7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</row>
    <row r="577" spans="1:29" ht="12.7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</row>
    <row r="578" spans="1:29" ht="12.7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</row>
    <row r="579" spans="1:29" ht="12.7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</row>
    <row r="580" spans="1:29" ht="12.7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</row>
    <row r="581" spans="1:29" ht="12.7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</row>
    <row r="582" spans="1:29" ht="12.7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</row>
    <row r="583" spans="1:29" ht="12.7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</row>
    <row r="584" spans="1:29" ht="12.7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</row>
    <row r="585" spans="1:29" ht="12.7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</row>
    <row r="586" spans="1:29" ht="12.7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</row>
    <row r="587" spans="1:29" ht="12.7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</row>
    <row r="588" spans="1:29" ht="12.7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</row>
    <row r="589" spans="1:29" ht="12.7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</row>
    <row r="590" spans="1:29" ht="12.7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</row>
    <row r="591" spans="1:29" ht="12.7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</row>
    <row r="592" spans="1:29" ht="12.7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</row>
    <row r="593" spans="1:29" ht="12.7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</row>
    <row r="594" spans="1:29" ht="12.7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</row>
    <row r="595" spans="1:29" ht="12.7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</row>
    <row r="596" spans="1:29" ht="12.7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</row>
    <row r="597" spans="1:29" ht="12.7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</row>
    <row r="598" spans="1:29" ht="12.7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</row>
    <row r="599" spans="1:29" ht="12.7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</row>
    <row r="600" spans="1:29" ht="12.7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</row>
    <row r="601" spans="1:29" ht="12.7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</row>
    <row r="602" spans="1:29" ht="12.7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</row>
    <row r="603" spans="1:29" ht="12.7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</row>
    <row r="604" spans="1:29" ht="12.7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</row>
    <row r="605" spans="1:29" ht="12.7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</row>
    <row r="606" spans="1:29" ht="12.7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</row>
    <row r="607" spans="1:29" ht="12.7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</row>
    <row r="608" spans="1:29" ht="12.7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</row>
    <row r="609" spans="1:29" ht="12.7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</row>
    <row r="610" spans="1:29" ht="12.7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</row>
    <row r="611" spans="1:29" ht="12.7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</row>
    <row r="612" spans="1:29" ht="12.7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</row>
    <row r="613" spans="1:29" ht="12.7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</row>
    <row r="614" spans="1:29" ht="12.7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</row>
    <row r="615" spans="1:29" ht="12.7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</row>
    <row r="616" spans="1:29" ht="12.7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</row>
    <row r="617" spans="1:29" ht="12.7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</row>
    <row r="618" spans="1:29" ht="12.7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</row>
    <row r="619" spans="1:29" ht="12.7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</row>
    <row r="620" spans="1:29" ht="12.7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</row>
    <row r="621" spans="1:29" ht="12.7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</row>
    <row r="622" spans="1:29" ht="12.7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</row>
    <row r="623" spans="1:29" ht="12.7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</row>
    <row r="624" spans="1:29" ht="12.7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</row>
    <row r="625" spans="1:29" ht="12.7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</row>
    <row r="626" spans="1:29" ht="12.7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</row>
    <row r="627" spans="1:29" ht="12.7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</row>
    <row r="628" spans="1:29" ht="12.7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</row>
    <row r="629" spans="1:29" ht="12.7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</row>
    <row r="630" spans="1:29" ht="12.7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</row>
    <row r="631" spans="1:29" ht="12.7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</row>
    <row r="632" spans="1:29" ht="12.7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</row>
    <row r="633" spans="1:29" ht="12.7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</row>
    <row r="634" spans="1:29" ht="12.7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</row>
    <row r="635" spans="1:29" ht="12.7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</row>
    <row r="636" spans="1:29" ht="12.7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</row>
    <row r="637" spans="1:29" ht="12.7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</row>
    <row r="638" spans="1:29" ht="12.7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</row>
    <row r="639" spans="1:29" ht="12.7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</row>
    <row r="640" spans="1:29" ht="12.7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</row>
    <row r="641" spans="1:29" ht="12.7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</row>
    <row r="642" spans="1:29" ht="12.7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</row>
    <row r="643" spans="1:29" ht="12.7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</row>
    <row r="644" spans="1:29" ht="12.7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</row>
    <row r="645" spans="1:29" ht="12.7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</row>
    <row r="646" spans="1:29" ht="12.7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</row>
    <row r="647" spans="1:29" ht="12.7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</row>
    <row r="648" spans="1:29" ht="12.7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</row>
    <row r="649" spans="1:29" ht="12.7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</row>
    <row r="650" spans="1:29" ht="12.7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</row>
    <row r="651" spans="1:29" ht="12.7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</row>
    <row r="652" spans="1:29" ht="12.7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</row>
    <row r="653" spans="1:29" ht="12.7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</row>
    <row r="654" spans="1:29" ht="12.7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</row>
    <row r="655" spans="1:29" ht="12.7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</row>
    <row r="656" spans="1:29" ht="12.7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</row>
    <row r="657" spans="1:29" ht="12.7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</row>
    <row r="658" spans="1:29" ht="12.7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</row>
    <row r="659" spans="1:29" ht="12.75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</row>
    <row r="660" spans="1:29" ht="12.75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</row>
    <row r="661" spans="1:29" ht="12.75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</row>
    <row r="662" spans="1:29" ht="12.75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</row>
    <row r="663" spans="1:29" ht="12.75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</row>
    <row r="664" spans="1:29" ht="12.75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</row>
    <row r="665" spans="1:29" ht="12.7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</row>
    <row r="666" spans="1:29" ht="12.75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</row>
    <row r="667" spans="1:29" ht="12.75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</row>
    <row r="668" spans="1:29" ht="12.75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</row>
    <row r="669" spans="1:29" ht="12.75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</row>
    <row r="670" spans="1:29" ht="12.75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</row>
    <row r="671" spans="1:29" ht="12.75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</row>
    <row r="672" spans="1:29" ht="12.75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</row>
    <row r="673" spans="1:29" ht="12.75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</row>
    <row r="674" spans="1:29" ht="12.75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</row>
    <row r="675" spans="1:29" ht="12.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</row>
    <row r="676" spans="1:29" ht="12.75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</row>
    <row r="677" spans="1:29" ht="12.75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</row>
    <row r="678" spans="1:29" ht="12.75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</row>
    <row r="679" spans="1:29" ht="12.75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</row>
    <row r="680" spans="1:29" ht="12.75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</row>
    <row r="681" spans="1:29" ht="12.75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</row>
    <row r="682" spans="1:29" ht="12.75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</row>
    <row r="683" spans="1:29" ht="12.75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</row>
    <row r="684" spans="1:29" ht="12.75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</row>
    <row r="685" spans="1:29" ht="12.7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</row>
    <row r="686" spans="1:29" ht="12.75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</row>
    <row r="687" spans="1:29" ht="12.75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</row>
    <row r="688" spans="1:29" ht="12.75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</row>
    <row r="689" spans="1:29" ht="12.75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</row>
    <row r="690" spans="1:29" ht="12.75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</row>
    <row r="691" spans="1:29" ht="12.75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</row>
    <row r="692" spans="1:29" ht="12.75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</row>
    <row r="693" spans="1:29" ht="12.75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</row>
    <row r="694" spans="1:29" ht="12.75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</row>
    <row r="695" spans="1:29" ht="12.7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</row>
    <row r="696" spans="1:29" ht="12.75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</row>
    <row r="697" spans="1:29" ht="12.75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</row>
    <row r="698" spans="1:29" ht="12.75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</row>
    <row r="699" spans="1:29" ht="12.75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</row>
    <row r="700" spans="1:29" ht="12.75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</row>
    <row r="701" spans="1:29" ht="12.75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</row>
    <row r="702" spans="1:29" ht="12.75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</row>
    <row r="703" spans="1:29" ht="12.75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</row>
    <row r="704" spans="1:29" ht="12.75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</row>
    <row r="705" spans="1:29" ht="12.7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</row>
    <row r="706" spans="1:29" ht="12.75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</row>
    <row r="707" spans="1:29" ht="12.75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</row>
    <row r="708" spans="1:29" ht="12.75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</row>
    <row r="709" spans="1:29" ht="12.75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</row>
    <row r="710" spans="1:29" ht="12.75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</row>
    <row r="711" spans="1:29" ht="12.75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</row>
    <row r="712" spans="1:29" ht="12.75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</row>
    <row r="713" spans="1:29" ht="12.75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</row>
    <row r="714" spans="1:29" ht="12.75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</row>
    <row r="715" spans="1:29" ht="12.7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</row>
    <row r="716" spans="1:29" ht="12.75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</row>
    <row r="717" spans="1:29" ht="12.75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</row>
    <row r="718" spans="1:29" ht="12.75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</row>
    <row r="719" spans="1:29" ht="12.75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</row>
    <row r="720" spans="1:29" ht="12.75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</row>
    <row r="721" spans="1:29" ht="12.75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</row>
    <row r="722" spans="1:29" ht="12.75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</row>
    <row r="723" spans="1:29" ht="12.75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</row>
    <row r="724" spans="1:29" ht="12.75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</row>
    <row r="725" spans="1:29" ht="12.7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</row>
    <row r="726" spans="1:29" ht="12.75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</row>
    <row r="727" spans="1:29" ht="12.75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</row>
    <row r="728" spans="1:29" ht="12.75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</row>
    <row r="729" spans="1:29" ht="12.75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</row>
    <row r="730" spans="1:29" ht="12.75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</row>
    <row r="731" spans="1:29" ht="12.75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</row>
    <row r="732" spans="1:29" ht="12.75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</row>
    <row r="733" spans="1:29" ht="12.75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</row>
    <row r="734" spans="1:29" ht="12.75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</row>
    <row r="735" spans="1:29" ht="12.7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</row>
    <row r="736" spans="1:29" ht="12.75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</row>
    <row r="737" spans="1:29" ht="12.75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</row>
    <row r="738" spans="1:29" ht="12.75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</row>
    <row r="739" spans="1:29" ht="12.75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</row>
    <row r="740" spans="1:29" ht="12.75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</row>
    <row r="741" spans="1:29" ht="12.75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</row>
    <row r="742" spans="1:29" ht="12.75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</row>
    <row r="743" spans="1:29" ht="12.75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</row>
    <row r="744" spans="1:29" ht="12.75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</row>
    <row r="745" spans="1:29" ht="12.7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</row>
    <row r="746" spans="1:29" ht="12.75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</row>
    <row r="747" spans="1:29" ht="12.75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</row>
    <row r="748" spans="1:29" ht="12.75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</row>
    <row r="749" spans="1:29" ht="12.75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</row>
    <row r="750" spans="1:29" ht="12.75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</row>
    <row r="751" spans="1:29" ht="12.75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</row>
    <row r="752" spans="1:29" ht="12.75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</row>
    <row r="753" spans="1:29" ht="12.75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</row>
    <row r="754" spans="1:29" ht="12.75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</row>
    <row r="755" spans="1:29" ht="12.7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</row>
    <row r="756" spans="1:29" ht="12.75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</row>
    <row r="757" spans="1:29" ht="12.75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</row>
    <row r="758" spans="1:29" ht="12.75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</row>
    <row r="759" spans="1:29" ht="12.75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</row>
    <row r="760" spans="1:29" ht="12.75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</row>
    <row r="761" spans="1:29" ht="12.75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</row>
    <row r="762" spans="1:29" ht="12.75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</row>
    <row r="763" spans="1:29" ht="12.75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</row>
    <row r="764" spans="1:29" ht="12.75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</row>
    <row r="765" spans="1:29" ht="12.7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</row>
    <row r="766" spans="1:29" ht="12.75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</row>
    <row r="767" spans="1:29" ht="12.75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</row>
    <row r="768" spans="1:29" ht="12.75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</row>
    <row r="769" spans="1:29" ht="12.75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</row>
    <row r="770" spans="1:29" ht="12.75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</row>
    <row r="771" spans="1:29" ht="12.75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</row>
    <row r="772" spans="1:29" ht="12.75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</row>
    <row r="773" spans="1:29" ht="12.75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</row>
    <row r="774" spans="1:29" ht="12.75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</row>
    <row r="775" spans="1:29" ht="12.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</row>
    <row r="776" spans="1:29" ht="12.75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</row>
    <row r="777" spans="1:29" ht="12.75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</row>
    <row r="778" spans="1:29" ht="12.75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</row>
    <row r="779" spans="1:29" ht="12.75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</row>
    <row r="780" spans="1:29" ht="12.75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</row>
    <row r="781" spans="1:29" ht="12.75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</row>
    <row r="782" spans="1:29" ht="12.75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</row>
    <row r="783" spans="1:29" ht="12.75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</row>
    <row r="784" spans="1:29" ht="12.75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</row>
    <row r="785" spans="1:29" ht="12.7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</row>
    <row r="786" spans="1:29" ht="12.75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</row>
    <row r="787" spans="1:29" ht="12.75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</row>
    <row r="788" spans="1:29" ht="12.75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</row>
    <row r="789" spans="1:29" ht="12.75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</row>
    <row r="790" spans="1:29" ht="12.75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</row>
    <row r="791" spans="1:29" ht="12.75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</row>
    <row r="792" spans="1:29" ht="12.75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</row>
    <row r="793" spans="1:29" ht="12.75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</row>
    <row r="794" spans="1:29" ht="12.75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</row>
    <row r="795" spans="1:29" ht="12.7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</row>
    <row r="796" spans="1:29" ht="12.75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</row>
    <row r="797" spans="1:29" ht="12.75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</row>
    <row r="798" spans="1:29" ht="12.75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</row>
    <row r="799" spans="1:29" ht="12.75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</row>
    <row r="800" spans="1:29" ht="12.75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</row>
    <row r="801" spans="1:29" ht="12.75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</row>
    <row r="802" spans="1:29" ht="12.75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</row>
    <row r="803" spans="1:29" ht="12.75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</row>
    <row r="804" spans="1:29" ht="12.75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</row>
    <row r="805" spans="1:29" ht="12.7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</row>
    <row r="806" spans="1:29" ht="12.75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</row>
    <row r="807" spans="1:29" ht="12.75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</row>
    <row r="808" spans="1:29" ht="12.75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</row>
    <row r="809" spans="1:29" ht="12.75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</row>
    <row r="810" spans="1:29" ht="12.75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</row>
    <row r="811" spans="1:29" ht="12.75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</row>
    <row r="812" spans="1:29" ht="12.75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</row>
    <row r="813" spans="1:29" ht="12.75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</row>
    <row r="814" spans="1:29" ht="12.75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</row>
    <row r="815" spans="1:29" ht="12.7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</row>
    <row r="816" spans="1:29" ht="12.75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</row>
    <row r="817" spans="1:29" ht="12.75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</row>
    <row r="818" spans="1:29" ht="12.75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</row>
    <row r="819" spans="1:29" ht="12.75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</row>
    <row r="820" spans="1:29" ht="12.75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</row>
    <row r="821" spans="1:29" ht="12.75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</row>
    <row r="822" spans="1:29" ht="12.75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</row>
    <row r="823" spans="1:29" ht="12.75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</row>
    <row r="824" spans="1:29" ht="12.75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</row>
    <row r="825" spans="1:29" ht="12.7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</row>
    <row r="826" spans="1:29" ht="12.75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</row>
    <row r="827" spans="1:29" ht="12.75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</row>
    <row r="828" spans="1:29" ht="12.75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</row>
    <row r="829" spans="1:29" ht="12.75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</row>
    <row r="830" spans="1:29" ht="12.75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</row>
    <row r="831" spans="1:29" ht="12.75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</row>
    <row r="832" spans="1:29" ht="12.75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</row>
    <row r="833" spans="1:29" ht="12.75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</row>
    <row r="834" spans="1:29" ht="12.75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</row>
    <row r="835" spans="1:29" ht="12.7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</row>
    <row r="836" spans="1:29" ht="12.75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</row>
    <row r="837" spans="1:29" ht="12.75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</row>
    <row r="838" spans="1:29" ht="12.75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</row>
    <row r="839" spans="1:29" ht="12.75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</row>
    <row r="840" spans="1:29" ht="12.75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</row>
    <row r="841" spans="1:29" ht="12.75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</row>
    <row r="842" spans="1:29" ht="12.75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</row>
    <row r="843" spans="1:29" ht="12.75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</row>
    <row r="844" spans="1:29" ht="12.75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</row>
    <row r="845" spans="1:29" ht="12.7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</row>
    <row r="846" spans="1:29" ht="12.75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</row>
    <row r="847" spans="1:29" ht="12.75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</row>
    <row r="848" spans="1:29" ht="12.75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</row>
    <row r="849" spans="1:29" ht="12.75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</row>
    <row r="850" spans="1:29" ht="12.75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</row>
    <row r="851" spans="1:29" ht="12.75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</row>
    <row r="852" spans="1:29" ht="12.75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</row>
    <row r="853" spans="1:29" ht="12.75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</row>
    <row r="854" spans="1:29" ht="12.75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</row>
    <row r="855" spans="1:29" ht="12.7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</row>
    <row r="856" spans="1:29" ht="12.75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</row>
    <row r="857" spans="1:29" ht="12.75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</row>
    <row r="858" spans="1:29" ht="12.75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</row>
    <row r="859" spans="1:29" ht="12.75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</row>
    <row r="860" spans="1:29" ht="12.75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</row>
    <row r="861" spans="1:29" ht="12.75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</row>
    <row r="862" spans="1:29" ht="12.75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</row>
    <row r="863" spans="1:29" ht="12.75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</row>
    <row r="864" spans="1:29" ht="12.75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</row>
    <row r="865" spans="1:29" ht="12.7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</row>
    <row r="866" spans="1:29" ht="12.75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</row>
    <row r="867" spans="1:29" ht="12.75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</row>
    <row r="868" spans="1:29" ht="12.75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</row>
    <row r="869" spans="1:29" ht="12.75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</row>
    <row r="870" spans="1:29" ht="12.75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</row>
    <row r="871" spans="1:29" ht="12.75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</row>
    <row r="872" spans="1:29" ht="12.75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</row>
    <row r="873" spans="1:29" ht="12.75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</row>
    <row r="874" spans="1:29" ht="12.75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</row>
    <row r="875" spans="1:29" ht="12.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</row>
    <row r="876" spans="1:29" ht="12.75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</row>
    <row r="877" spans="1:29" ht="12.75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</row>
    <row r="878" spans="1:29" ht="12.75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</row>
    <row r="879" spans="1:29" ht="12.75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</row>
    <row r="880" spans="1:29" ht="12.75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</row>
    <row r="881" spans="1:29" ht="12.75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</row>
    <row r="882" spans="1:29" ht="12.75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</row>
    <row r="883" spans="1:29" ht="12.75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</row>
    <row r="884" spans="1:29" ht="12.75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</row>
    <row r="885" spans="1:29" ht="12.7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</row>
    <row r="886" spans="1:29" ht="12.75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</row>
    <row r="887" spans="1:29" ht="12.75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</row>
    <row r="888" spans="1:29" ht="12.75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</row>
    <row r="889" spans="1:29" ht="12.75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</row>
    <row r="890" spans="1:29" ht="12.75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</row>
    <row r="891" spans="1:29" ht="12.75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</row>
    <row r="892" spans="1:29" ht="12.75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</row>
    <row r="893" spans="1:29" ht="12.75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</row>
    <row r="894" spans="1:29" ht="12.75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</row>
    <row r="895" spans="1:29" ht="12.7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</row>
    <row r="896" spans="1:29" ht="12.75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</row>
    <row r="897" spans="1:29" ht="12.75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</row>
    <row r="898" spans="1:29" ht="12.75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</row>
    <row r="899" spans="1:29" ht="12.75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</row>
    <row r="900" spans="1:29" ht="12.75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</row>
    <row r="901" spans="1:29" ht="12.75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</row>
    <row r="902" spans="1:29" ht="12.75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</row>
    <row r="903" spans="1:29" ht="12.75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</row>
    <row r="904" spans="1:29" ht="12.75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</row>
    <row r="905" spans="1:29" ht="12.7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</row>
    <row r="906" spans="1:29" ht="12.75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</row>
    <row r="907" spans="1:29" ht="12.75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</row>
    <row r="908" spans="1:29" ht="12.75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</row>
    <row r="909" spans="1:29" ht="12.75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</row>
    <row r="910" spans="1:29" ht="12.75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</row>
    <row r="911" spans="1:29" ht="12.75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</row>
    <row r="912" spans="1:29" ht="12.75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</row>
    <row r="913" spans="1:29" ht="12.75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</row>
    <row r="914" spans="1:29" ht="12.75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</row>
    <row r="915" spans="1:29" ht="12.7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</row>
    <row r="916" spans="1:29" ht="12.75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</row>
    <row r="917" spans="1:29" ht="12.75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</row>
    <row r="918" spans="1:29" ht="12.75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</row>
    <row r="919" spans="1:29" ht="12.75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</row>
    <row r="920" spans="1:29" ht="12.75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</row>
    <row r="921" spans="1:29" ht="12.75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</row>
    <row r="922" spans="1:29" ht="12.75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</row>
    <row r="923" spans="1:29" ht="12.75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</row>
    <row r="924" spans="1:29" ht="12.75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</row>
    <row r="925" spans="1:29" ht="12.7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</row>
    <row r="926" spans="1:29" ht="12.75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</row>
    <row r="927" spans="1:29" ht="12.75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</row>
    <row r="928" spans="1:29" ht="12.75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</row>
    <row r="929" spans="1:29" ht="12.75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</row>
    <row r="930" spans="1:29" ht="12.75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</row>
    <row r="931" spans="1:29" ht="12.75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</row>
    <row r="932" spans="1:29" ht="12.75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</row>
    <row r="933" spans="1:29" ht="12.75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</row>
    <row r="934" spans="1:29" ht="12.75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</row>
    <row r="935" spans="1:29" ht="12.7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</row>
    <row r="936" spans="1:29" ht="12.75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</row>
    <row r="937" spans="1:29" ht="12.75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</row>
    <row r="938" spans="1:29" ht="12.75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</row>
    <row r="939" spans="1:29" ht="12.75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</row>
    <row r="940" spans="1:29" ht="12.75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</row>
    <row r="941" spans="1:29" ht="12.75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</row>
    <row r="942" spans="1:29" ht="12.75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</row>
    <row r="943" spans="1:29" ht="12.75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</row>
    <row r="944" spans="1:29" ht="12.75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</row>
    <row r="945" spans="1:29" ht="12.7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</row>
    <row r="946" spans="1:29" ht="12.75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</row>
    <row r="947" spans="1:29" ht="12.75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</row>
    <row r="948" spans="1:29" ht="12.75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</row>
    <row r="949" spans="1:29" ht="12.75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</row>
    <row r="950" spans="1:29" ht="12.75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</row>
    <row r="951" spans="1:29" ht="12.75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</row>
    <row r="952" spans="1:29" ht="12.75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</row>
    <row r="953" spans="1:29" ht="12.75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</row>
    <row r="954" spans="1:29" ht="12.75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</row>
    <row r="955" spans="1:29" ht="12.7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</row>
    <row r="956" spans="1:29" ht="12.75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</row>
    <row r="957" spans="1:29" ht="12.75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</row>
    <row r="958" spans="1:29" ht="12.75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</row>
    <row r="959" spans="1:29" ht="12.75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</row>
    <row r="960" spans="1:29" ht="12.75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</row>
    <row r="961" spans="1:29" ht="12.75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</row>
    <row r="962" spans="1:29" ht="12.75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</row>
    <row r="963" spans="1:29" ht="12.75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</row>
    <row r="964" spans="1:29" ht="12.75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</row>
    <row r="965" spans="1:29" ht="12.7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</row>
    <row r="966" spans="1:29" ht="12.75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</row>
    <row r="967" spans="1:29" ht="12.75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</row>
    <row r="968" spans="1:29" ht="12.75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</row>
    <row r="969" spans="1:29" ht="12.75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</row>
    <row r="970" spans="1:29" ht="12.75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</row>
    <row r="971" spans="1:29" ht="12.75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</row>
    <row r="972" spans="1:29" ht="12.75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</row>
    <row r="973" spans="1:29" ht="12.75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</row>
    <row r="974" spans="1:29" ht="12.75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</row>
    <row r="975" spans="1:29" ht="12.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</row>
    <row r="976" spans="1:29" ht="12.75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</row>
    <row r="977" spans="1:29" ht="12.75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</row>
    <row r="978" spans="1:29" ht="12.75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</row>
    <row r="979" spans="1:29" ht="12.75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</row>
    <row r="980" spans="1:29" ht="12.75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</row>
    <row r="981" spans="1:29" ht="12.75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</row>
    <row r="982" spans="1:29" ht="12.75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</row>
    <row r="983" spans="1:29" ht="12.75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</row>
    <row r="984" spans="1:29" ht="12.75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</row>
    <row r="985" spans="1:29" ht="12.7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</row>
    <row r="986" spans="1:29" ht="12.75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</row>
    <row r="987" spans="1:29" ht="12.75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</row>
    <row r="988" spans="1:29" ht="12.75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</row>
    <row r="989" spans="1:29" ht="12.75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</row>
    <row r="990" spans="1:29" ht="12.75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</row>
    <row r="991" spans="1:29" ht="12.75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</row>
    <row r="992" spans="1:29" ht="12.75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</row>
    <row r="993" spans="1:29" ht="12.75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</row>
    <row r="994" spans="1:29" ht="12.75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</row>
    <row r="995" spans="1:29" ht="12.7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</row>
    <row r="996" spans="1:29" ht="12.75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</row>
    <row r="997" spans="1:29" ht="12.75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</row>
    <row r="998" spans="1:29" ht="12.75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</row>
    <row r="999" spans="1:29" ht="12.75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</row>
    <row r="1000" spans="1:29" ht="12.75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</row>
    <row r="1001" spans="1:29" ht="12.75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</row>
    <row r="1002" spans="1:29" ht="12.75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</row>
    <row r="1003" spans="1:29" ht="12.75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</row>
    <row r="1004" spans="1:29" ht="12.75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</row>
    <row r="1005" spans="1:29" ht="12.7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</row>
    <row r="1006" spans="1:29" ht="12.75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</row>
    <row r="1007" spans="1:29" ht="12.75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</row>
    <row r="1008" spans="1:29" ht="12.75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</row>
    <row r="1009" spans="1:29" ht="12.75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</row>
    <row r="1010" spans="1:29" ht="12.75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</row>
    <row r="1011" spans="1:29" ht="12.75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</row>
    <row r="1012" spans="1:29" ht="12.75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</row>
    <row r="1013" spans="1:29" ht="12.75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</row>
    <row r="1014" spans="1:29" ht="12.75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</row>
    <row r="1015" spans="1:29" ht="12.75">
      <c r="A1015" s="45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</row>
    <row r="1016" spans="1:29" ht="12.75">
      <c r="A1016" s="45"/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</row>
    <row r="1017" spans="1:29" ht="12.75">
      <c r="A1017" s="45"/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</row>
    <row r="1018" spans="1:29" ht="12.75">
      <c r="A1018" s="45"/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</row>
    <row r="1019" spans="1:29" ht="12.75">
      <c r="A1019" s="45"/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</row>
    <row r="1020" spans="1:29" ht="12.75">
      <c r="A1020" s="45"/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  <c r="AA1020" s="45"/>
      <c r="AB1020" s="45"/>
      <c r="AC1020" s="45"/>
    </row>
    <row r="1021" spans="1:29" ht="12.75">
      <c r="A1021" s="45"/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</row>
    <row r="1022" spans="1:29" ht="12.75">
      <c r="A1022" s="45"/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  <c r="AA1022" s="45"/>
      <c r="AB1022" s="45"/>
      <c r="AC1022" s="45"/>
    </row>
    <row r="1023" spans="1:29" ht="12.75">
      <c r="A1023" s="45"/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</row>
    <row r="1024" spans="1:29" ht="12.75">
      <c r="A1024" s="45"/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</row>
    <row r="1025" spans="1:29" ht="12.75">
      <c r="A1025" s="45"/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</row>
    <row r="1026" spans="1:29" ht="12.75">
      <c r="A1026" s="45"/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</row>
    <row r="1027" spans="1:29" ht="12.75">
      <c r="A1027" s="45"/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</row>
    <row r="1028" spans="1:29" ht="12.75">
      <c r="A1028" s="45"/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</row>
    <row r="1029" spans="1:29" ht="12.75">
      <c r="A1029" s="45"/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</row>
    <row r="1030" spans="1:29" ht="12.75">
      <c r="A1030" s="45"/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</row>
    <row r="1031" spans="1:29" ht="12.75">
      <c r="A1031" s="45"/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</row>
    <row r="1032" spans="1:29" ht="12.75">
      <c r="A1032" s="45"/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</row>
    <row r="1033" spans="1:29" ht="12.75">
      <c r="A1033" s="45"/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</row>
    <row r="1034" spans="1:29" ht="12.75">
      <c r="A1034" s="45"/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</row>
    <row r="1035" spans="1:29" ht="12.75">
      <c r="A1035" s="45"/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</row>
  </sheetData>
  <mergeCells count="64">
    <mergeCell ref="B94:C94"/>
    <mergeCell ref="B95:C96"/>
    <mergeCell ref="B2:B3"/>
    <mergeCell ref="C2:D3"/>
    <mergeCell ref="AC3:AC4"/>
    <mergeCell ref="B56:D56"/>
    <mergeCell ref="B49:D49"/>
    <mergeCell ref="B88:C89"/>
    <mergeCell ref="B91:C91"/>
    <mergeCell ref="B92:C93"/>
    <mergeCell ref="B85:C85"/>
    <mergeCell ref="B87:C87"/>
    <mergeCell ref="AD3:AD4"/>
    <mergeCell ref="E4:AB4"/>
    <mergeCell ref="E26:AB26"/>
    <mergeCell ref="AD27:AD28"/>
    <mergeCell ref="E5:AB5"/>
    <mergeCell ref="AD6:AD7"/>
    <mergeCell ref="AD8:AD9"/>
    <mergeCell ref="AD10:AD11"/>
    <mergeCell ref="AD12:AD13"/>
    <mergeCell ref="AD14:AD15"/>
    <mergeCell ref="AD39:AD40"/>
    <mergeCell ref="AD16:AD17"/>
    <mergeCell ref="AD18:AD19"/>
    <mergeCell ref="AD20:AD21"/>
    <mergeCell ref="AD22:AD23"/>
    <mergeCell ref="AD29:AD30"/>
    <mergeCell ref="AD31:AD32"/>
    <mergeCell ref="AD33:AD34"/>
    <mergeCell ref="AD35:AD36"/>
    <mergeCell ref="AD37:AD38"/>
    <mergeCell ref="AD41:AD42"/>
    <mergeCell ref="E45:AB45"/>
    <mergeCell ref="B46:D46"/>
    <mergeCell ref="B47:D47"/>
    <mergeCell ref="B48:D48"/>
    <mergeCell ref="AD75:AD76"/>
    <mergeCell ref="E76:AB76"/>
    <mergeCell ref="B59:D59"/>
    <mergeCell ref="E59:AB59"/>
    <mergeCell ref="B60:D60"/>
    <mergeCell ref="B61:D61"/>
    <mergeCell ref="B62:D62"/>
    <mergeCell ref="E75:AC75"/>
    <mergeCell ref="AD65:AD68"/>
    <mergeCell ref="E73:AC73"/>
    <mergeCell ref="AD73:AD74"/>
    <mergeCell ref="B74:C74"/>
    <mergeCell ref="E74:AC74"/>
    <mergeCell ref="E71:AC71"/>
    <mergeCell ref="E72:AC72"/>
    <mergeCell ref="AD71:AD72"/>
    <mergeCell ref="B1:AC1"/>
    <mergeCell ref="B77:C77"/>
    <mergeCell ref="E77:AB77"/>
    <mergeCell ref="B80:C80"/>
    <mergeCell ref="B84:C84"/>
    <mergeCell ref="E70:AC70"/>
    <mergeCell ref="B52:D52"/>
    <mergeCell ref="E52:AB52"/>
    <mergeCell ref="B53:D53"/>
    <mergeCell ref="B54:D54"/>
    <mergeCell ref="B55:D55"/>
  </mergeCells>
  <pageMargins left="0.7" right="0.7" top="0.78740157499999996" bottom="0.78740157499999996" header="0.3" footer="0.3"/>
  <pageSetup paperSize="9" scale="59" orientation="landscape" r:id="rId1"/>
  <ignoredErrors>
    <ignoredError sqref="E72:E7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Kosten_Planung</vt:lpstr>
      <vt:lpstr>Tracking_Actuals_Projektverlauf</vt:lpstr>
      <vt:lpstr>Kosten_Planung!Druckbereich</vt:lpstr>
      <vt:lpstr>Tracking_Actuals_Projektverlauf!Druckbereich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Schmidt</dc:creator>
  <cp:lastModifiedBy>Yannick Wiesner</cp:lastModifiedBy>
  <cp:lastPrinted>2019-11-18T16:34:06Z</cp:lastPrinted>
  <dcterms:created xsi:type="dcterms:W3CDTF">2019-11-13T07:28:22Z</dcterms:created>
  <dcterms:modified xsi:type="dcterms:W3CDTF">2025-07-08T10:38:24Z</dcterms:modified>
</cp:coreProperties>
</file>